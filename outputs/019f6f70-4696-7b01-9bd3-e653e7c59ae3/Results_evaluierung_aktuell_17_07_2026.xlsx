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95b53522c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st_Config_Per_Model" sheetId="1" r:id="R95e209fdb130428a"/>
    <x:sheet xmlns:r="http://schemas.openxmlformats.org/officeDocument/2006/relationships" name="Datensatzsieger" sheetId="2" r:id="Re55b1d9967b34d3f"/>
    <x:sheet xmlns:r="http://schemas.openxmlformats.org/officeDocument/2006/relationships" name="VSKNN_Legacy_Vergleich" sheetId="3" r:id="Rebd5994e373b4ec2"/>
    <x:sheet xmlns:r="http://schemas.openxmlformats.org/officeDocument/2006/relationships" name="Quality_Runtime" sheetId="4" r:id="R3528c7835393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04040"/>
      <x:name val="Carlito"/>
    </x:font>
    <x:font>
      <x:b/>
      <x:sz val="11"/>
      <x:color rgb="FF000000"/>
      <x:name val="Carlito"/>
    </x:font>
    <x:font>
      <x:i/>
      <x:sz val="11"/>
      <x:name val="Carlito"/>
    </x:font>
    <x:font>
      <x:b/>
      <x:sz val="11"/>
      <x:color rgb="FF215E2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2"/>
      </x:patternFill>
    </x:fill>
    <x:fill>
      <x:patternFill patternType="solid">
        <x:fgColor rgb="FF7FC3D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5" fillId="5" borderId="2" xfId="0" applyNumberFormat="1" applyFont="1" applyFill="1" applyBorder="1"/>
    <x:xf numFmtId="200" fontId="0" fillId="5" borderId="2" xfId="0" applyNumberFormat="1" applyFont="1" applyFill="1" applyBorder="1"/>
    <x:xf numFmtId="201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2" xfId="0" applyNumberFormat="1" applyFont="1" applyFill="1" applyBorder="1"/>
  </x:cellXfs>
  <x:cellStyles count="1">
    <x:cellStyle name="Normal" xfId="0"/>
  </x:cellStyles>
  <x:dxfs count="5">
    <x:dxf>
      <x:font>
        <x:b/>
        <x:color rgb="FFFFFFFF"/>
      </x:font>
      <x:fill>
        <x:patternFill patternType="solid">
          <x:bgColor rgb="FF4EA72E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4EA72E"/>
        </x:patternFill>
      </x:fill>
    </x:dxf>
    <x:dxf>
      <x:font>
        <x:b/>
      </x:font>
      <x:fill>
        <x:patternFill patternType="solid">
          <x:bgColor rgb="FFFFD96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9dbed74ae4a5f" /><Relationship Type="http://schemas.openxmlformats.org/officeDocument/2006/relationships/theme" Target="/xl/theme/theme1.xml" Id="R432f707804474e2a" /><Relationship Type="http://schemas.openxmlformats.org/officeDocument/2006/relationships/sharedStrings" Target="/xl/sharedStrings.xml" Id="R422aa98a6f1543cd" /><Relationship Type="http://schemas.openxmlformats.org/officeDocument/2006/relationships/worksheet" Target="/xl/worksheets/sheet1.xml" Id="R95e209fdb130428a" /><Relationship Type="http://schemas.openxmlformats.org/officeDocument/2006/relationships/worksheet" Target="/xl/worksheets/sheet2.xml" Id="Re55b1d9967b34d3f" /><Relationship Type="http://schemas.openxmlformats.org/officeDocument/2006/relationships/worksheet" Target="/xl/worksheets/sheet3.xml" Id="Rebd5994e373b4ec2" /><Relationship Type="http://schemas.openxmlformats.org/officeDocument/2006/relationships/worksheet" Target="/xl/worksheets/sheet4.xml" Id="R3528c783539343a2" /></Relationships>
</file>

<file path=xl/tables/table1.xml><?xml version="1.0" encoding="utf-8"?>
<x:table xmlns:x="http://schemas.openxmlformats.org/spreadsheetml/2006/main" id="1" name="BestConfigTable" displayName="BestConfigTable" ref="A3:Q29" headerRowCount="1" totalsRowCount="0" totalsRowShown="0">
  <x:tableColumns count="17">
    <x:tableColumn id="1" name="Szenario"/>
    <x:tableColumn id="2" name="Datensatz"/>
    <x:tableColumn id="3" name="Modell"/>
    <x:tableColumn id="4" name="Implementierung"/>
    <x:tableColumn id="5" name="Gerät"/>
    <x:tableColumn id="6" name="Hit@5"/>
    <x:tableColumn id="7" name="Hit@10"/>
    <x:tableColumn id="8" name="NDCG@5"/>
    <x:tableColumn id="9" name="NDCG@10"/>
    <x:tableColumn id="10" name="MRR@5"/>
    <x:tableColumn id="11" name="MRR@10"/>
    <x:tableColumn id="12" name="Laufzeit (s)"/>
    <x:tableColumn id="13" name="Laufzeit (min)"/>
    <x:tableColumn id="14" name="Beste Konfiguration (JSON)"/>
    <x:tableColumn id="15" name="Ergebnisquelle"/>
    <x:tableColumn id="16" name="Run-ID"/>
    <x:tableColumn id="17" name="Datensatzsieg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WinnersTable" displayName="DatasetWinnersTable" ref="A3:J8" headerRowCount="1" totalsRowCount="0" totalsRowShown="0">
  <x:tableColumns count="10">
    <x:tableColumn id="1" name="Szenario"/>
    <x:tableColumn id="2" name="Datensatz"/>
    <x:tableColumn id="3" name="Bestes Modell"/>
    <x:tableColumn id="4" name="Gerät"/>
    <x:tableColumn id="5" name="Hit@10"/>
    <x:tableColumn id="6" name="NDCG@10"/>
    <x:tableColumn id="7" name="MRR@10"/>
    <x:tableColumn id="8" name="Laufzeit (s)"/>
    <x:tableColumn id="9" name="Konfiguration"/>
    <x:tableColumn id="10" name="Quell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VsknnLegacyTable" displayName="VsknnLegacyTable" ref="A3:N6" headerRowCount="1" totalsRowCount="0" totalsRowShown="0">
  <x:tableColumns count="14">
    <x:tableColumn id="1" name="Datensatz"/>
    <x:tableColumn id="2" name="Legacy Hit@10"/>
    <x:tableColumn id="3" name="Aktuell Hit@10"/>
    <x:tableColumn id="4" name="Δ Hit@10"/>
    <x:tableColumn id="5" name="Legacy NDCG@10"/>
    <x:tableColumn id="6" name="Aktuell NDCG@10"/>
    <x:tableColumn id="7" name="Δ NDCG@10"/>
    <x:tableColumn id="8" name="Legacy MRR@10"/>
    <x:tableColumn id="9" name="Aktuell MRR@10"/>
    <x:tableColumn id="10" name="Δ MRR@10"/>
    <x:tableColumn id="11" name="Rel. Δ MRR"/>
    <x:tableColumn id="12" name="Neighbor Size"/>
    <x:tableColumn id="13" name="Sample Size"/>
    <x:tableColumn id="14" name="Gewichtung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lityRuntimeTable" displayName="QualityRuntimeTable" ref="A3:M29" headerRowCount="1" totalsRowCount="0" totalsRowShown="0">
  <x:tableColumns count="13">
    <x:tableColumn id="1" name="Szenario"/>
    <x:tableColumn id="2" name="Datensatz"/>
    <x:tableColumn id="3" name="Modell"/>
    <x:tableColumn id="4" name="Hit@10"/>
    <x:tableColumn id="5" name="NDCG@10"/>
    <x:tableColumn id="6" name="MRR@10"/>
    <x:tableColumn id="7" name="Laufzeit (s)"/>
    <x:tableColumn id="8" name="Laufzeit (min)"/>
    <x:tableColumn id="9" name="MRR@10/min"/>
    <x:tableColumn id="10" name="Rang im Datensatz"/>
    <x:tableColumn id="11" name="Relativ zum Besten"/>
    <x:tableColumn id="12" name="Abstand zum Besten"/>
    <x:tableColumn id="13" name="Pareto-effizi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3eb65032bb4a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9d62ec7d8247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2afaf3f512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5e4e7716784a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58" hidden="0" customWidth="1"/>
    <x:col min="15" max="15" width="35" hidden="0" customWidth="1"/>
    <x:col min="16" max="16" width="35" hidden="0" customWidth="1"/>
    <x:col min="17" max="17" width="16" hidden="0" customWidth="1"/>
  </x:cols>
  <x:sheetData>
    <x:row r="1" ht="28" customHeight="1">
      <x:c r="A1" s="3" t="str">
        <x:v>Aktuelle RecBole-Ergebnisse – beste Konfiguration je Modell und Datensatz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6" t="str">
        <x:v>Auswahlmetrik: MRR@10; bei Gleichstand niedrigere Laufzeit. Audited VSKNN ersetzt die Legacy-VS-KNN-Zeilen.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34" customHeight="1">
      <x:c r="A3" s="12" t="str">
        <x:v>Szenario</x:v>
      </x:c>
      <x:c r="B3" s="12" t="str">
        <x:v>Datensatz</x:v>
      </x:c>
      <x:c r="C3" s="12" t="str">
        <x:v>Modell</x:v>
      </x:c>
      <x:c r="D3" s="12" t="str">
        <x:v>Implementierung</x:v>
      </x:c>
      <x:c r="E3" s="12" t="str">
        <x:v>Gerät</x:v>
      </x:c>
      <x:c r="F3" s="12" t="str">
        <x:v>Hit@5</x:v>
      </x:c>
      <x:c r="G3" s="12" t="str">
        <x:v>Hit@10</x:v>
      </x:c>
      <x:c r="H3" s="12" t="str">
        <x:v>NDCG@5</x:v>
      </x:c>
      <x:c r="I3" s="12" t="str">
        <x:v>NDCG@10</x:v>
      </x:c>
      <x:c r="J3" s="12" t="str">
        <x:v>MRR@5</x:v>
      </x:c>
      <x:c r="K3" s="12" t="str">
        <x:v>MRR@10</x:v>
      </x:c>
      <x:c r="L3" s="12" t="str">
        <x:v>Laufzeit (s)</x:v>
      </x:c>
      <x:c r="M3" s="12" t="str">
        <x:v>Laufzeit (min)</x:v>
      </x:c>
      <x:c r="N3" s="12" t="str">
        <x:v>Beste Konfiguration (JSON)</x:v>
      </x:c>
      <x:c r="O3" s="12" t="str">
        <x:v>Ergebnisquelle</x:v>
      </x:c>
      <x:c r="P3" s="12" t="str">
        <x:v>Run-ID</x:v>
      </x:c>
      <x:c r="Q3" s="12" t="str">
        <x:v>Datensatzsieger</x:v>
      </x:c>
    </x:row>
    <x:row r="4" ht="38" customHeight="1">
      <x:c r="A4" s="13" t="str">
        <x:v>Session-based</x:v>
      </x:c>
      <x:c r="B4" s="13" t="str">
        <x:v>adressa_recbole_sample</x:v>
      </x:c>
      <x:c r="C4" s="13" t="str">
        <x:v>GRU4Rec</x:v>
      </x:c>
      <x:c r="D4" s="13" t="str">
        <x:v>existing</x:v>
      </x:c>
      <x:c r="E4" s="13" t="str">
        <x:v>cuda</x:v>
      </x:c>
      <x:c r="F4" s="14" t="n">
        <x:v>0.3539</x:v>
      </x:c>
      <x:c r="G4" s="14" t="n">
        <x:v>0.522</x:v>
      </x:c>
      <x:c r="H4" s="14" t="n">
        <x:v>0.235</x:v>
      </x:c>
      <x:c r="I4" s="14" t="n">
        <x:v>0.2892</x:v>
      </x:c>
      <x:c r="J4" s="14" t="n">
        <x:v>0.1959</x:v>
      </x:c>
      <x:c r="K4" s="14" t="n">
        <x:v>0.2181</x:v>
      </x:c>
      <x:c r="L4" s="15" t="n">
        <x:v>26.18</x:v>
      </x:c>
      <x:c r="M4" s="15" t="n">
        <x:f>IFERROR(L4/60,"")</x:f>
        <x:v>0.43633333333333335</x:v>
      </x:c>
      <x:c r="N4" s="16" t="str">
        <x:v>{"dropout_prob": 0.1, "epochs": 20, "eval_batch_size": 2048, "hidden_size": 256, "learning_rate": 0.001, "loss_type": "CE", "model": "GRU4Rec", "num_layers": 1, "train_batch_size": 2048, "train_neg_sample_args": null}</x:v>
      </x:c>
      <x:c r="O4" s="16" t="str">
        <x:v>session_full_tuning_results.csv</x:v>
      </x:c>
      <x:c r="P4" s="16" t="str">
        <x:v>adressa_recbole_sample::GRU4Rec::{"dropout_prob": 0.1, "epochs": 20, "eval_batch_size": 2048, "hidden_size": 256, "learning_rate": 0.001, "loss_type": "CE", "model": "GRU4Rec", "num_layers": 1, "train_batch_size": 2048, "train_neg_sample_args": null}</x:v>
      </x:c>
      <x:c r="Q4" s="13" t="str">
        <x:v>Ja</x:v>
      </x:c>
    </x:row>
    <x:row r="5" ht="38" customHeight="1">
      <x:c r="A5" s="13" t="str">
        <x:v>Session-based</x:v>
      </x:c>
      <x:c r="B5" s="13" t="str">
        <x:v>adressa_recbole_sample</x:v>
      </x:c>
      <x:c r="C5" s="13" t="str">
        <x:v>VSKNN</x:v>
      </x:c>
      <x:c r="D5" s="13" t="str">
        <x:v>audited</x:v>
      </x:c>
      <x:c r="E5" s="13" t="str">
        <x:v>cpu</x:v>
      </x:c>
      <x:c r="F5" s="14" t="n">
        <x:v>0.2885</x:v>
      </x:c>
      <x:c r="G5" s="14" t="n">
        <x:v>0.4313</x:v>
      </x:c>
      <x:c r="H5" s="14" t="n">
        <x:v>0.1853</x:v>
      </x:c>
      <x:c r="I5" s="14" t="n">
        <x:v>0.2312</x:v>
      </x:c>
      <x:c r="J5" s="14" t="n">
        <x:v>0.1515</x:v>
      </x:c>
      <x:c r="K5" s="14" t="n">
        <x:v>0.1703</x:v>
      </x:c>
      <x:c r="L5" s="15" t="n">
        <x:v>142.53</x:v>
      </x:c>
      <x:c r="M5" s="15" t="n">
        <x:f>IFERROR(L5/60,"")</x:f>
        <x:v>2.3755</x:v>
      </x:c>
      <x:c r="N5" s="16" t="str">
        <x:v>{"neighbor_size": 200, "sample_size": 500, "sampling": "recent", "score_weighting": "div", "session_weighting": "div", "similarity": "vec"}</x:v>
      </x:c>
      <x:c r="O5" s="16" t="str">
        <x:v>compact_tuning_best_by_dataset.csv</x:v>
      </x:c>
      <x:c r="P5" s="16" t="str">
        <x:v>adressa_recbole_sample::e0f1f7c33df0</x:v>
      </x:c>
      <x:c r="Q5" s="13" t="str"/>
    </x:row>
    <x:row r="6" ht="38" customHeight="1">
      <x:c r="A6" s="13" t="str">
        <x:v>Session-based</x:v>
      </x:c>
      <x:c r="B6" s="13" t="str">
        <x:v>adressa_recbole_sample</x:v>
      </x:c>
      <x:c r="C6" s="13" t="str">
        <x:v>VSTAN</x:v>
      </x:c>
      <x:c r="D6" s="13" t="str">
        <x:v>existing</x:v>
      </x:c>
      <x:c r="E6" s="13" t="str">
        <x:v>cuda</x:v>
      </x:c>
      <x:c r="F6" s="14" t="n">
        <x:v>0.2738</x:v>
      </x:c>
      <x:c r="G6" s="14" t="n">
        <x:v>0.4204</x:v>
      </x:c>
      <x:c r="H6" s="14" t="n">
        <x:v>0.1749</x:v>
      </x:c>
      <x:c r="I6" s="14" t="n">
        <x:v>0.2221</x:v>
      </x:c>
      <x:c r="J6" s="14" t="n">
        <x:v>0.1425</x:v>
      </x:c>
      <x:c r="K6" s="14" t="n">
        <x:v>0.1619</x:v>
      </x:c>
      <x:c r="L6" s="15" t="n">
        <x:v>2795.94</x:v>
      </x:c>
      <x:c r="M6" s="15" t="n">
        <x:f>IFERROR(L6/60,"")</x:f>
        <x:v>46.599000000000004</x:v>
      </x:c>
      <x:c r="N6" s="16" t="str">
        <x:v>{"vstan_idf_weighting": false, "vstan_k": 100, "vstan_popularity_weight": 0.0, "vstan_position_decay": 0.2, "vstan_sample_size": 500}</x:v>
      </x:c>
      <x:c r="O6" s="16" t="str">
        <x:v>session_full_tuning_results.csv</x:v>
      </x:c>
      <x:c r="P6" s="16" t="str">
        <x:v>adressa_recbole_sample::VSTAN::{"vstan_idf_weighting": false, "vstan_k": 100, "vstan_popularity_weight": 0.0, "vstan_position_decay": 0.2, "vstan_sample_size": 500}</x:v>
      </x:c>
      <x:c r="Q6" s="13" t="str"/>
    </x:row>
    <x:row r="7" ht="38" customHeight="1">
      <x:c r="A7" s="13" t="str">
        <x:v>Session-based</x:v>
      </x:c>
      <x:c r="B7" s="13" t="str">
        <x:v>adressa_recbole_sample</x:v>
      </x:c>
      <x:c r="C7" s="13" t="str">
        <x:v>RecentPop</x:v>
      </x:c>
      <x:c r="D7" s="13" t="str">
        <x:v>existing</x:v>
      </x:c>
      <x:c r="E7" s="13" t="str">
        <x:v>cuda</x:v>
      </x:c>
      <x:c r="F7" s="14" t="n">
        <x:v>0.2486</x:v>
      </x:c>
      <x:c r="G7" s="14" t="n">
        <x:v>0.3815</x:v>
      </x:c>
      <x:c r="H7" s="14" t="n">
        <x:v>0.1459</x:v>
      </x:c>
      <x:c r="I7" s="14" t="n">
        <x:v>0.1884</x:v>
      </x:c>
      <x:c r="J7" s="14" t="n">
        <x:v>0.1123</x:v>
      </x:c>
      <x:c r="K7" s="14" t="n">
        <x:v>0.1296</x:v>
      </x:c>
      <x:c r="L7" s="15" t="n">
        <x:v>6.48</x:v>
      </x:c>
      <x:c r="M7" s="15" t="n">
        <x:f>IFERROR(L7/60,"")</x:f>
        <x:v>0.10800000000000001</x:v>
      </x:c>
      <x:c r="N7" s="16" t="str">
        <x:v>{"window_days": 1}</x:v>
      </x:c>
      <x:c r="O7" s="16" t="str">
        <x:v>session_full_tuning_results.csv</x:v>
      </x:c>
      <x:c r="P7" s="16" t="str">
        <x:v>adressa_recbole_sample::RecentPop::{"window_days": 1}</x:v>
      </x:c>
      <x:c r="Q7" s="13" t="str"/>
    </x:row>
    <x:row r="8" ht="38" customHeight="1">
      <x:c r="A8" s="13" t="str">
        <x:v>Session-based</x:v>
      </x:c>
      <x:c r="B8" s="13" t="str">
        <x:v>adressa_recbole_sample</x:v>
      </x:c>
      <x:c r="C8" s="13" t="str">
        <x:v>DecayPop</x:v>
      </x:c>
      <x:c r="D8" s="13" t="str">
        <x:v>existing</x:v>
      </x:c>
      <x:c r="E8" s="13" t="str">
        <x:v>cuda</x:v>
      </x:c>
      <x:c r="F8" s="14" t="n">
        <x:v>0.2398</x:v>
      </x:c>
      <x:c r="G8" s="14" t="n">
        <x:v>0.3734</x:v>
      </x:c>
      <x:c r="H8" s="14" t="n">
        <x:v>0.1425</x:v>
      </x:c>
      <x:c r="I8" s="14" t="n">
        <x:v>0.1841</x:v>
      </x:c>
      <x:c r="J8" s="14" t="n">
        <x:v>0.1106</x:v>
      </x:c>
      <x:c r="K8" s="14" t="n">
        <x:v>0.1268</x:v>
      </x:c>
      <x:c r="L8" s="15" t="n">
        <x:v>7.94</x:v>
      </x:c>
      <x:c r="M8" s="15" t="n">
        <x:f>IFERROR(L8/60,"")</x:f>
        <x:v>0.13233333333333333</x:v>
      </x:c>
      <x:c r="N8" s="16" t="str">
        <x:v>{"decay_lambda": 5e-09}</x:v>
      </x:c>
      <x:c r="O8" s="16" t="str">
        <x:v>session_full_tuning_results.csv</x:v>
      </x:c>
      <x:c r="P8" s="16" t="str">
        <x:v>adressa_recbole_sample::DecayPop::{"decay_lambda": 5e-09}</x:v>
      </x:c>
      <x:c r="Q8" s="13" t="str"/>
    </x:row>
    <x:row r="9" ht="38" customHeight="1">
      <x:c r="A9" s="13" t="str">
        <x:v>Session-based</x:v>
      </x:c>
      <x:c r="B9" s="13" t="str">
        <x:v>adressa_recbole_sample</x:v>
      </x:c>
      <x:c r="C9" s="13" t="str">
        <x:v>MostPop</x:v>
      </x:c>
      <x:c r="D9" s="13" t="str">
        <x:v>existing</x:v>
      </x:c>
      <x:c r="E9" s="13" t="str">
        <x:v>cuda</x:v>
      </x:c>
      <x:c r="F9" s="14" t="n">
        <x:v>0.2398</x:v>
      </x:c>
      <x:c r="G9" s="14" t="n">
        <x:v>0.3734</x:v>
      </x:c>
      <x:c r="H9" s="14" t="n">
        <x:v>0.1425</x:v>
      </x:c>
      <x:c r="I9" s="14" t="n">
        <x:v>0.1841</x:v>
      </x:c>
      <x:c r="J9" s="14" t="n">
        <x:v>0.1106</x:v>
      </x:c>
      <x:c r="K9" s="14" t="n">
        <x:v>0.1268</x:v>
      </x:c>
      <x:c r="L9" s="15" t="n">
        <x:v>6.4</x:v>
      </x:c>
      <x:c r="M9" s="15" t="n">
        <x:f>IFERROR(L9/60,"")</x:f>
        <x:v>0.10666666666666667</x:v>
      </x:c>
      <x:c r="N9" s="16" t="str">
        <x:v>{}</x:v>
      </x:c>
      <x:c r="O9" s="16" t="str">
        <x:v>session_full_tuning_results.csv</x:v>
      </x:c>
      <x:c r="P9" s="16" t="str">
        <x:v>adressa_recbole_sample::MostPop::{}</x:v>
      </x:c>
      <x:c r="Q9" s="13" t="str"/>
    </x:row>
    <x:row r="10" ht="38" customHeight="1">
      <x:c r="A10" s="13" t="str">
        <x:v>Session-based</x:v>
      </x:c>
      <x:c r="B10" s="13" t="str">
        <x:v>globo_recbole_sample</x:v>
      </x:c>
      <x:c r="C10" s="13" t="str">
        <x:v>GRU4Rec</x:v>
      </x:c>
      <x:c r="D10" s="13" t="str">
        <x:v>existing</x:v>
      </x:c>
      <x:c r="E10" s="13" t="str">
        <x:v>cuda</x:v>
      </x:c>
      <x:c r="F10" s="14" t="n">
        <x:v>0.2436</x:v>
      </x:c>
      <x:c r="G10" s="14" t="n">
        <x:v>0.3614</x:v>
      </x:c>
      <x:c r="H10" s="14" t="n">
        <x:v>0.1608</x:v>
      </x:c>
      <x:c r="I10" s="14" t="n">
        <x:v>0.1988</x:v>
      </x:c>
      <x:c r="J10" s="14" t="n">
        <x:v>0.1337</x:v>
      </x:c>
      <x:c r="K10" s="14" t="n">
        <x:v>0.1493</x:v>
      </x:c>
      <x:c r="L10" s="15" t="n">
        <x:v>27.36</x:v>
      </x:c>
      <x:c r="M10" s="15" t="n">
        <x:f>IFERROR(L10/60,"")</x:f>
        <x:v>0.456</x:v>
      </x:c>
      <x:c r="N10" s="16" t="str">
        <x:v>{"dropout_prob": 0.1, "epochs": 20, "eval_batch_size": 2048, "hidden_size": 256, "learning_rate": 0.001, "loss_type": "CE", "model": "GRU4Rec", "num_layers": 1, "train_batch_size": 2048, "train_neg_sample_args": null}</x:v>
      </x:c>
      <x:c r="O10" s="16" t="str">
        <x:v>session_full_tuning_results.csv</x:v>
      </x:c>
      <x:c r="P10" s="16" t="str">
        <x:v>globo_recbole_sample::GRU4Rec::{"dropout_prob": 0.1, "epochs": 20, "eval_batch_size": 2048, "hidden_size": 256, "learning_rate": 0.001, "loss_type": "CE", "model": "GRU4Rec", "num_layers": 1, "train_batch_size": 2048, "train_neg_sample_args": null}</x:v>
      </x:c>
      <x:c r="Q10" s="13" t="str">
        <x:v>Ja</x:v>
      </x:c>
    </x:row>
    <x:row r="11" ht="38" customHeight="1">
      <x:c r="A11" s="13" t="str">
        <x:v>Session-based</x:v>
      </x:c>
      <x:c r="B11" s="13" t="str">
        <x:v>globo_recbole_sample</x:v>
      </x:c>
      <x:c r="C11" s="13" t="str">
        <x:v>VSTAN</x:v>
      </x:c>
      <x:c r="D11" s="13" t="str">
        <x:v>existing</x:v>
      </x:c>
      <x:c r="E11" s="13" t="str">
        <x:v>cuda</x:v>
      </x:c>
      <x:c r="F11" s="14" t="n">
        <x:v>0.2026</x:v>
      </x:c>
      <x:c r="G11" s="14" t="n">
        <x:v>0.3644</x:v>
      </x:c>
      <x:c r="H11" s="14" t="n">
        <x:v>0.0958</x:v>
      </x:c>
      <x:c r="I11" s="14" t="n">
        <x:v>0.1482</x:v>
      </x:c>
      <x:c r="J11" s="14" t="n">
        <x:v>0.0614</x:v>
      </x:c>
      <x:c r="K11" s="14" t="n">
        <x:v>0.0831</x:v>
      </x:c>
      <x:c r="L11" s="15" t="n">
        <x:v>287.73</x:v>
      </x:c>
      <x:c r="M11" s="15" t="n">
        <x:f>IFERROR(L11/60,"")</x:f>
        <x:v>4.7955000000000005</x:v>
      </x:c>
      <x:c r="N11" s="16" t="str">
        <x:v>{"vstan_idf_weighting": false, "vstan_k": 200, "vstan_position_decay": 0.2, "vstan_sample_size": 500}</x:v>
      </x:c>
      <x:c r="O11" s="16" t="str">
        <x:v>session_full_tuning_results.csv</x:v>
      </x:c>
      <x:c r="P11" s="16" t="str">
        <x:v>globo_recbole_sample::VSTAN::{"vstan_idf_weighting": false, "vstan_k": 200, "vstan_position_decay": 0.2, "vstan_sample_size": 500}</x:v>
      </x:c>
      <x:c r="Q11" s="13" t="str"/>
    </x:row>
    <x:row r="12" ht="38" customHeight="1">
      <x:c r="A12" s="13" t="str">
        <x:v>Session-based</x:v>
      </x:c>
      <x:c r="B12" s="13" t="str">
        <x:v>globo_recbole_sample</x:v>
      </x:c>
      <x:c r="C12" s="13" t="str">
        <x:v>VSKNN</x:v>
      </x:c>
      <x:c r="D12" s="13" t="str">
        <x:v>audited</x:v>
      </x:c>
      <x:c r="E12" s="13" t="str">
        <x:v>cpu</x:v>
      </x:c>
      <x:c r="F12" s="14" t="n">
        <x:v>0.1833</x:v>
      </x:c>
      <x:c r="G12" s="14" t="n">
        <x:v>0.3298</x:v>
      </x:c>
      <x:c r="H12" s="14" t="n">
        <x:v>0.0867</x:v>
      </x:c>
      <x:c r="I12" s="14" t="n">
        <x:v>0.1341</x:v>
      </x:c>
      <x:c r="J12" s="14" t="n">
        <x:v>0.0555</x:v>
      </x:c>
      <x:c r="K12" s="14" t="n">
        <x:v>0.0751</x:v>
      </x:c>
      <x:c r="L12" s="15" t="n">
        <x:v>143.85</x:v>
      </x:c>
      <x:c r="M12" s="15" t="n">
        <x:f>IFERROR(L12/60,"")</x:f>
        <x:v>2.3975</x:v>
      </x:c>
      <x:c r="N12" s="16" t="str">
        <x:v>{"neighbor_size": 100, "sample_size": 1000, "sampling": "recent", "score_weighting": "div", "session_weighting": "div", "similarity": "vec"}</x:v>
      </x:c>
      <x:c r="O12" s="16" t="str">
        <x:v>compact_tuning_best_by_dataset.csv</x:v>
      </x:c>
      <x:c r="P12" s="16" t="str">
        <x:v>globo_recbole_sample::f243e650f371</x:v>
      </x:c>
      <x:c r="Q12" s="13" t="str"/>
    </x:row>
    <x:row r="13" ht="38" customHeight="1">
      <x:c r="A13" s="13" t="str">
        <x:v>Session-based</x:v>
      </x:c>
      <x:c r="B13" s="13" t="str">
        <x:v>globo_recbole_sample</x:v>
      </x:c>
      <x:c r="C13" s="13" t="str">
        <x:v>DecayPop</x:v>
      </x:c>
      <x:c r="D13" s="13" t="str">
        <x:v>existing</x:v>
      </x:c>
      <x:c r="E13" s="13" t="str">
        <x:v>cuda</x:v>
      </x:c>
      <x:c r="F13" s="14" t="n">
        <x:v>0.0346</x:v>
      </x:c>
      <x:c r="G13" s="14" t="n">
        <x:v>0.0626</x:v>
      </x:c>
      <x:c r="H13" s="14" t="n">
        <x:v>0.0226</x:v>
      </x:c>
      <x:c r="I13" s="14" t="n">
        <x:v>0.0316</x:v>
      </x:c>
      <x:c r="J13" s="14" t="n">
        <x:v>0.0188</x:v>
      </x:c>
      <x:c r="K13" s="14" t="n">
        <x:v>0.0224</x:v>
      </x:c>
      <x:c r="L13" s="15" t="n">
        <x:v>8.57</x:v>
      </x:c>
      <x:c r="M13" s="15" t="n">
        <x:f>IFERROR(L13/60,"")</x:f>
        <x:v>0.14283333333333334</x:v>
      </x:c>
      <x:c r="N13" s="16" t="str">
        <x:v>{"decay_lambda": 1e-08}</x:v>
      </x:c>
      <x:c r="O13" s="16" t="str">
        <x:v>session_full_tuning_results.csv</x:v>
      </x:c>
      <x:c r="P13" s="16" t="str">
        <x:v>globo_recbole_sample::DecayPop::{"decay_lambda": 1e-08}</x:v>
      </x:c>
      <x:c r="Q13" s="13" t="str"/>
    </x:row>
    <x:row r="14" ht="38" customHeight="1">
      <x:c r="A14" s="13" t="str">
        <x:v>Session-based</x:v>
      </x:c>
      <x:c r="B14" s="13" t="str">
        <x:v>globo_recbole_sample</x:v>
      </x:c>
      <x:c r="C14" s="13" t="str">
        <x:v>MostPop</x:v>
      </x:c>
      <x:c r="D14" s="13" t="str">
        <x:v>existing</x:v>
      </x:c>
      <x:c r="E14" s="13" t="str">
        <x:v>cuda</x:v>
      </x:c>
      <x:c r="F14" s="14" t="n">
        <x:v>0.0346</x:v>
      </x:c>
      <x:c r="G14" s="14" t="n">
        <x:v>0.0626</x:v>
      </x:c>
      <x:c r="H14" s="14" t="n">
        <x:v>0.0226</x:v>
      </x:c>
      <x:c r="I14" s="14" t="n">
        <x:v>0.0316</x:v>
      </x:c>
      <x:c r="J14" s="14" t="n">
        <x:v>0.0188</x:v>
      </x:c>
      <x:c r="K14" s="14" t="n">
        <x:v>0.0224</x:v>
      </x:c>
      <x:c r="L14" s="15" t="n">
        <x:v>6.93</x:v>
      </x:c>
      <x:c r="M14" s="15" t="n">
        <x:f>IFERROR(L14/60,"")</x:f>
        <x:v>0.11549999999999999</x:v>
      </x:c>
      <x:c r="N14" s="16" t="str">
        <x:v>{}</x:v>
      </x:c>
      <x:c r="O14" s="16" t="str">
        <x:v>session_full_tuning_results.csv</x:v>
      </x:c>
      <x:c r="P14" s="16" t="str">
        <x:v>globo_recbole_sample::MostPop::{}</x:v>
      </x:c>
      <x:c r="Q14" s="13" t="str"/>
    </x:row>
    <x:row r="15" ht="38" customHeight="1">
      <x:c r="A15" s="13" t="str">
        <x:v>Session-based</x:v>
      </x:c>
      <x:c r="B15" s="13" t="str">
        <x:v>globo_recbole_sample</x:v>
      </x:c>
      <x:c r="C15" s="13" t="str">
        <x:v>RecentPop</x:v>
      </x:c>
      <x:c r="D15" s="13" t="str">
        <x:v>existing</x:v>
      </x:c>
      <x:c r="E15" s="13" t="str">
        <x:v>cuda</x:v>
      </x:c>
      <x:c r="F15" s="14" t="n">
        <x:v>0.0346</x:v>
      </x:c>
      <x:c r="G15" s="14" t="n">
        <x:v>0.0626</x:v>
      </x:c>
      <x:c r="H15" s="14" t="n">
        <x:v>0.0226</x:v>
      </x:c>
      <x:c r="I15" s="14" t="n">
        <x:v>0.0316</x:v>
      </x:c>
      <x:c r="J15" s="14" t="n">
        <x:v>0.0188</x:v>
      </x:c>
      <x:c r="K15" s="14" t="n">
        <x:v>0.0224</x:v>
      </x:c>
      <x:c r="L15" s="15" t="n">
        <x:v>6.81</x:v>
      </x:c>
      <x:c r="M15" s="15" t="n">
        <x:f>IFERROR(L15/60,"")</x:f>
        <x:v>0.11349999999999999</x:v>
      </x:c>
      <x:c r="N15" s="16" t="str">
        <x:v>{"window_days": 180}</x:v>
      </x:c>
      <x:c r="O15" s="16" t="str">
        <x:v>session_full_tuning_results.csv</x:v>
      </x:c>
      <x:c r="P15" s="16" t="str">
        <x:v>globo_recbole_sample::RecentPop::{"window_days": 180}</x:v>
      </x:c>
      <x:c r="Q15" s="13" t="str"/>
    </x:row>
    <x:row r="16" ht="38" customHeight="1">
      <x:c r="A16" s="13" t="str">
        <x:v>Session-based</x:v>
      </x:c>
      <x:c r="B16" s="13" t="str">
        <x:v>yoochoose_recbole_sample</x:v>
      </x:c>
      <x:c r="C16" s="13" t="str">
        <x:v>VSKNN</x:v>
      </x:c>
      <x:c r="D16" s="13" t="str">
        <x:v>audited</x:v>
      </x:c>
      <x:c r="E16" s="13" t="str">
        <x:v>cpu</x:v>
      </x:c>
      <x:c r="F16" s="14" t="n">
        <x:v>0.4417</x:v>
      </x:c>
      <x:c r="G16" s="14" t="n">
        <x:v>0.5377</x:v>
      </x:c>
      <x:c r="H16" s="14" t="n">
        <x:v>0.3165</x:v>
      </x:c>
      <x:c r="I16" s="14" t="n">
        <x:v>0.3478</x:v>
      </x:c>
      <x:c r="J16" s="14" t="n">
        <x:v>0.275</x:v>
      </x:c>
      <x:c r="K16" s="14" t="n">
        <x:v>0.288</x:v>
      </x:c>
      <x:c r="L16" s="15" t="n">
        <x:v>190.56</x:v>
      </x:c>
      <x:c r="M16" s="15" t="n">
        <x:f>IFERROR(L16/60,"")</x:f>
        <x:v>3.176</x:v>
      </x:c>
      <x:c r="N16" s="16" t="str">
        <x:v>{"neighbor_size": 100, "sample_size": 500, "sampling": "recent", "score_weighting": "quadratic", "session_weighting": "div", "similarity": "vec"}</x:v>
      </x:c>
      <x:c r="O16" s="16" t="str">
        <x:v>compact_tuning_best_by_dataset.csv</x:v>
      </x:c>
      <x:c r="P16" s="16" t="str">
        <x:v>yoochoose_recbole_sample::7b5a13f5d310</x:v>
      </x:c>
      <x:c r="Q16" s="13" t="str">
        <x:v>Ja</x:v>
      </x:c>
    </x:row>
    <x:row r="17" ht="38" customHeight="1">
      <x:c r="A17" s="13" t="str">
        <x:v>Session-based</x:v>
      </x:c>
      <x:c r="B17" s="13" t="str">
        <x:v>yoochoose_recbole_sample</x:v>
      </x:c>
      <x:c r="C17" s="13" t="str">
        <x:v>VSTAN</x:v>
      </x:c>
      <x:c r="D17" s="13" t="str">
        <x:v>existing</x:v>
      </x:c>
      <x:c r="E17" s="13" t="str">
        <x:v>cuda</x:v>
      </x:c>
      <x:c r="F17" s="14" t="n">
        <x:v>0.4277</x:v>
      </x:c>
      <x:c r="G17" s="14" t="n">
        <x:v>0.5334</x:v>
      </x:c>
      <x:c r="H17" s="14" t="n">
        <x:v>0.304</x:v>
      </x:c>
      <x:c r="I17" s="14" t="n">
        <x:v>0.3384</x:v>
      </x:c>
      <x:c r="J17" s="14" t="n">
        <x:v>0.263</x:v>
      </x:c>
      <x:c r="K17" s="14" t="n">
        <x:v>0.2773</x:v>
      </x:c>
      <x:c r="L17" s="15" t="n">
        <x:v>541.25</x:v>
      </x:c>
      <x:c r="M17" s="15" t="n">
        <x:f>IFERROR(L17/60,"")</x:f>
        <x:v>9.020833333333334</x:v>
      </x:c>
      <x:c r="N17" s="16" t="str">
        <x:v>{"vstan_idf_weighting": true, "vstan_k": 200, "vstan_position_decay": 0.2, "vstan_sample_size": 500}</x:v>
      </x:c>
      <x:c r="O17" s="16" t="str">
        <x:v>session_full_tuning_results.csv</x:v>
      </x:c>
      <x:c r="P17" s="16" t="str">
        <x:v>yoochoose_recbole_sample::VSTAN::{"vstan_idf_weighting": true, "vstan_k": 200, "vstan_position_decay": 0.2, "vstan_sample_size": 500}</x:v>
      </x:c>
      <x:c r="Q17" s="13" t="str"/>
    </x:row>
    <x:row r="18" ht="38" customHeight="1">
      <x:c r="A18" s="13" t="str">
        <x:v>Session-based</x:v>
      </x:c>
      <x:c r="B18" s="13" t="str">
        <x:v>yoochoose_recbole_sample</x:v>
      </x:c>
      <x:c r="C18" s="13" t="str">
        <x:v>GRU4Rec</x:v>
      </x:c>
      <x:c r="D18" s="13" t="str">
        <x:v>existing</x:v>
      </x:c>
      <x:c r="E18" s="13" t="str">
        <x:v>cuda</x:v>
      </x:c>
      <x:c r="F18" s="14" t="n">
        <x:v>0.379</x:v>
      </x:c>
      <x:c r="G18" s="14" t="n">
        <x:v>0.4818</x:v>
      </x:c>
      <x:c r="H18" s="14" t="n">
        <x:v>0.2693</x:v>
      </x:c>
      <x:c r="I18" s="14" t="n">
        <x:v>0.3027</x:v>
      </x:c>
      <x:c r="J18" s="14" t="n">
        <x:v>0.2331</x:v>
      </x:c>
      <x:c r="K18" s="14" t="n">
        <x:v>0.2469</x:v>
      </x:c>
      <x:c r="L18" s="15" t="n">
        <x:v>32.13</x:v>
      </x:c>
      <x:c r="M18" s="15" t="n">
        <x:f>IFERROR(L18/60,"")</x:f>
        <x:v>0.5355000000000001</x:v>
      </x:c>
      <x:c r="N18" s="16" t="str">
        <x:v>{"dropout_prob": 0.1, "epochs": 20, "eval_batch_size": 2048, "hidden_size": 256, "learning_rate": 0.001, "loss_type": "CE", "model": "GRU4Rec", "num_layers": 1, "train_batch_size": 2048, "train_neg_sample_args": null}</x:v>
      </x:c>
      <x:c r="O18" s="16" t="str">
        <x:v>session_full_tuning_results.csv</x:v>
      </x:c>
      <x:c r="P18" s="16" t="str">
        <x:v>yoochoose_recbole_sample::GRU4Rec::{"dropout_prob": 0.1, "epochs": 20, "eval_batch_size": 2048, "hidden_size": 256, "learning_rate": 0.001, "loss_type": "CE", "model": "GRU4Rec", "num_layers": 1, "train_batch_size": 2048, "train_neg_sample_args": null}</x:v>
      </x:c>
      <x:c r="Q18" s="13" t="str"/>
    </x:row>
    <x:row r="19" ht="38" customHeight="1">
      <x:c r="A19" s="13" t="str">
        <x:v>Session-based</x:v>
      </x:c>
      <x:c r="B19" s="13" t="str">
        <x:v>yoochoose_recbole_sample</x:v>
      </x:c>
      <x:c r="C19" s="13" t="str">
        <x:v>DecayPop</x:v>
      </x:c>
      <x:c r="D19" s="13" t="str">
        <x:v>existing</x:v>
      </x:c>
      <x:c r="E19" s="13" t="str">
        <x:v>cuda</x:v>
      </x:c>
      <x:c r="F19" s="14" t="n">
        <x:v>0.0139</x:v>
      </x:c>
      <x:c r="G19" s="14" t="n">
        <x:v>0.0216</x:v>
      </x:c>
      <x:c r="H19" s="14" t="n">
        <x:v>0.009</x:v>
      </x:c>
      <x:c r="I19" s="14" t="n">
        <x:v>0.0115</x:v>
      </x:c>
      <x:c r="J19" s="14" t="n">
        <x:v>0.0074</x:v>
      </x:c>
      <x:c r="K19" s="14" t="n">
        <x:v>0.0084</x:v>
      </x:c>
      <x:c r="L19" s="15" t="n">
        <x:v>8.91</x:v>
      </x:c>
      <x:c r="M19" s="15" t="n">
        <x:f>IFERROR(L19/60,"")</x:f>
        <x:v>0.1485</x:v>
      </x:c>
      <x:c r="N19" s="16" t="str">
        <x:v>{"decay_lambda": 5e-08}</x:v>
      </x:c>
      <x:c r="O19" s="16" t="str">
        <x:v>session_full_tuning_results.csv</x:v>
      </x:c>
      <x:c r="P19" s="16" t="str">
        <x:v>yoochoose_recbole_sample::DecayPop::{"decay_lambda": 5e-08}</x:v>
      </x:c>
      <x:c r="Q19" s="13" t="str"/>
    </x:row>
    <x:row r="20" ht="38" customHeight="1">
      <x:c r="A20" s="13" t="str">
        <x:v>Session-based</x:v>
      </x:c>
      <x:c r="B20" s="13" t="str">
        <x:v>yoochoose_recbole_sample</x:v>
      </x:c>
      <x:c r="C20" s="13" t="str">
        <x:v>MostPop</x:v>
      </x:c>
      <x:c r="D20" s="13" t="str">
        <x:v>existing</x:v>
      </x:c>
      <x:c r="E20" s="13" t="str">
        <x:v>cuda</x:v>
      </x:c>
      <x:c r="F20" s="14" t="n">
        <x:v>0.0139</x:v>
      </x:c>
      <x:c r="G20" s="14" t="n">
        <x:v>0.0215</x:v>
      </x:c>
      <x:c r="H20" s="14" t="n">
        <x:v>0.0087</x:v>
      </x:c>
      <x:c r="I20" s="14" t="n">
        <x:v>0.0112</x:v>
      </x:c>
      <x:c r="J20" s="14" t="n">
        <x:v>0.007</x:v>
      </x:c>
      <x:c r="K20" s="14" t="n">
        <x:v>0.008</x:v>
      </x:c>
      <x:c r="L20" s="15" t="n">
        <x:v>7.25</x:v>
      </x:c>
      <x:c r="M20" s="15" t="n">
        <x:f>IFERROR(L20/60,"")</x:f>
        <x:v>0.12083333333333333</x:v>
      </x:c>
      <x:c r="N20" s="16" t="str">
        <x:v>{}</x:v>
      </x:c>
      <x:c r="O20" s="16" t="str">
        <x:v>session_full_tuning_results.csv</x:v>
      </x:c>
      <x:c r="P20" s="16" t="str">
        <x:v>yoochoose_recbole_sample::MostPop::{}</x:v>
      </x:c>
      <x:c r="Q20" s="13" t="str"/>
    </x:row>
    <x:row r="21" ht="38" customHeight="1">
      <x:c r="A21" s="13" t="str">
        <x:v>Session-based</x:v>
      </x:c>
      <x:c r="B21" s="13" t="str">
        <x:v>yoochoose_recbole_sample</x:v>
      </x:c>
      <x:c r="C21" s="13" t="str">
        <x:v>RecentPop</x:v>
      </x:c>
      <x:c r="D21" s="13" t="str">
        <x:v>existing</x:v>
      </x:c>
      <x:c r="E21" s="13" t="str">
        <x:v>cuda</x:v>
      </x:c>
      <x:c r="F21" s="14" t="n">
        <x:v>0.0138</x:v>
      </x:c>
      <x:c r="G21" s="14" t="n">
        <x:v>0.0212</x:v>
      </x:c>
      <x:c r="H21" s="14" t="n">
        <x:v>0.0087</x:v>
      </x:c>
      <x:c r="I21" s="14" t="n">
        <x:v>0.0111</x:v>
      </x:c>
      <x:c r="J21" s="14" t="n">
        <x:v>0.007</x:v>
      </x:c>
      <x:c r="K21" s="14" t="n">
        <x:v>0.008</x:v>
      </x:c>
      <x:c r="L21" s="15" t="n">
        <x:v>7.26</x:v>
      </x:c>
      <x:c r="M21" s="15" t="n">
        <x:f>IFERROR(L21/60,"")</x:f>
        <x:v>0.121</x:v>
      </x:c>
      <x:c r="N21" s="16" t="str">
        <x:v>{"window_days": 180}</x:v>
      </x:c>
      <x:c r="O21" s="16" t="str">
        <x:v>session_full_tuning_results.csv</x:v>
      </x:c>
      <x:c r="P21" s="16" t="str">
        <x:v>yoochoose_recbole_sample::RecentPop::{"window_days": 180}</x:v>
      </x:c>
      <x:c r="Q21" s="13" t="str"/>
    </x:row>
    <x:row r="22" ht="38" customHeight="1">
      <x:c r="A22" s="13" t="str">
        <x:v>Top-N</x:v>
      </x:c>
      <x:c r="B22" s="13" t="str">
        <x:v>amazon_recbole</x:v>
      </x:c>
      <x:c r="C22" s="13" t="str">
        <x:v>BPR</x:v>
      </x:c>
      <x:c r="D22" s="13" t="str">
        <x:v>existing</x:v>
      </x:c>
      <x:c r="E22" s="13" t="str">
        <x:v>cuda</x:v>
      </x:c>
      <x:c r="F22" s="14" t="n">
        <x:v>0.0625</x:v>
      </x:c>
      <x:c r="G22" s="14" t="n">
        <x:v>0.0754</x:v>
      </x:c>
      <x:c r="H22" s="14" t="n">
        <x:v>0.0532</x:v>
      </x:c>
      <x:c r="I22" s="14" t="n">
        <x:v>0.0573</x:v>
      </x:c>
      <x:c r="J22" s="14" t="n">
        <x:v>0.0502</x:v>
      </x:c>
      <x:c r="K22" s="14" t="n">
        <x:v>0.0519</x:v>
      </x:c>
      <x:c r="L22" s="15" t="n">
        <x:v>12903.07</x:v>
      </x:c>
      <x:c r="M22" s="15" t="n">
        <x:f>IFERROR(L22/60,"")</x:f>
        <x:v>215.05116666666666</x:v>
      </x:c>
      <x:c r="N22" s="16" t="str">
        <x:v>{"embedding_size": 128, "epochs": 50, "learning_rate": 0.001, "train_neg_sample_args": {"alpha": 1.0, "candidate_num": 0, "distribution": "uniform", "dynamic": false, "sample_num": 1}}</x:v>
      </x:c>
      <x:c r="O22" s="16" t="str">
        <x:v>topn_full_tuning_results.csv</x:v>
      </x:c>
      <x:c r="P22" s="16" t="str">
        <x:v>amazon_recbole::BPR::{"embedding_size": 128, "epochs": 50, "learning_rate": 0.001, "train_neg_sample_args": {"alpha": 1.0, "candidate_num": 0, "distribution": "uniform", "dynamic": false, "sample_num": 1}}</x:v>
      </x:c>
      <x:c r="Q22" s="13" t="str">
        <x:v>Ja</x:v>
      </x:c>
    </x:row>
    <x:row r="23" ht="38" customHeight="1">
      <x:c r="A23" s="13" t="str">
        <x:v>Top-N</x:v>
      </x:c>
      <x:c r="B23" s="13" t="str">
        <x:v>amazon_recbole</x:v>
      </x:c>
      <x:c r="C23" s="13" t="str">
        <x:v>DecayPop</x:v>
      </x:c>
      <x:c r="D23" s="13" t="str">
        <x:v>existing</x:v>
      </x:c>
      <x:c r="E23" s="13" t="str">
        <x:v>cuda</x:v>
      </x:c>
      <x:c r="F23" s="14" t="n">
        <x:v>0.0163</x:v>
      </x:c>
      <x:c r="G23" s="14" t="n">
        <x:v>0.026</x:v>
      </x:c>
      <x:c r="H23" s="14" t="n">
        <x:v>0.0105</x:v>
      </x:c>
      <x:c r="I23" s="14" t="n">
        <x:v>0.0136</x:v>
      </x:c>
      <x:c r="J23" s="14" t="n">
        <x:v>0.0087</x:v>
      </x:c>
      <x:c r="K23" s="14" t="n">
        <x:v>0.01</x:v>
      </x:c>
      <x:c r="L23" s="15" t="n">
        <x:v>1670.23</x:v>
      </x:c>
      <x:c r="M23" s="15" t="n">
        <x:f>IFERROR(L23/60,"")</x:f>
        <x:v>27.83716666666667</x:v>
      </x:c>
      <x:c r="N23" s="16" t="str">
        <x:v>{"decay_lambda": 5e-09}</x:v>
      </x:c>
      <x:c r="O23" s="16" t="str">
        <x:v>topn_full_tuning_results.csv</x:v>
      </x:c>
      <x:c r="P23" s="16" t="str">
        <x:v>amazon_recbole::DecayPop::{"decay_lambda": 5e-09}</x:v>
      </x:c>
      <x:c r="Q23" s="13" t="str"/>
    </x:row>
    <x:row r="24" ht="38" customHeight="1">
      <x:c r="A24" s="13" t="str">
        <x:v>Top-N</x:v>
      </x:c>
      <x:c r="B24" s="13" t="str">
        <x:v>amazon_recbole</x:v>
      </x:c>
      <x:c r="C24" s="13" t="str">
        <x:v>MostPop</x:v>
      </x:c>
      <x:c r="D24" s="13" t="str">
        <x:v>existing</x:v>
      </x:c>
      <x:c r="E24" s="13" t="str">
        <x:v>cuda</x:v>
      </x:c>
      <x:c r="F24" s="14" t="n">
        <x:v>0.0159</x:v>
      </x:c>
      <x:c r="G24" s="14" t="n">
        <x:v>0.0236</x:v>
      </x:c>
      <x:c r="H24" s="14" t="n">
        <x:v>0.01</x:v>
      </x:c>
      <x:c r="I24" s="14" t="n">
        <x:v>0.0124</x:v>
      </x:c>
      <x:c r="J24" s="14" t="n">
        <x:v>0.0081</x:v>
      </x:c>
      <x:c r="K24" s="14" t="n">
        <x:v>0.0091</x:v>
      </x:c>
      <x:c r="L24" s="15" t="n">
        <x:v>1662.26</x:v>
      </x:c>
      <x:c r="M24" s="15" t="n">
        <x:f>IFERROR(L24/60,"")</x:f>
        <x:v>27.704333333333334</x:v>
      </x:c>
      <x:c r="N24" s="16" t="str">
        <x:v>{}</x:v>
      </x:c>
      <x:c r="O24" s="16" t="str">
        <x:v>topn_full_tuning_results.csv</x:v>
      </x:c>
      <x:c r="P24" s="16" t="str"/>
      <x:c r="Q24" s="13" t="str"/>
    </x:row>
    <x:row r="25" ht="38" customHeight="1">
      <x:c r="A25" s="13" t="str">
        <x:v>Top-N</x:v>
      </x:c>
      <x:c r="B25" s="13" t="str">
        <x:v>amazon_recbole</x:v>
      </x:c>
      <x:c r="C25" s="13" t="str">
        <x:v>RecentPop</x:v>
      </x:c>
      <x:c r="D25" s="13" t="str">
        <x:v>existing</x:v>
      </x:c>
      <x:c r="E25" s="13" t="str">
        <x:v>cuda</x:v>
      </x:c>
      <x:c r="F25" s="14" t="n">
        <x:v>0.0059</x:v>
      </x:c>
      <x:c r="G25" s="14" t="n">
        <x:v>0.0131</x:v>
      </x:c>
      <x:c r="H25" s="14" t="n">
        <x:v>0.0033</x:v>
      </x:c>
      <x:c r="I25" s="14" t="n">
        <x:v>0.0055</x:v>
      </x:c>
      <x:c r="J25" s="14" t="n">
        <x:v>0.0025</x:v>
      </x:c>
      <x:c r="K25" s="14" t="n">
        <x:v>0.0034</x:v>
      </x:c>
      <x:c r="L25" s="15" t="n">
        <x:v>1730.85</x:v>
      </x:c>
      <x:c r="M25" s="15" t="n">
        <x:f>IFERROR(L25/60,"")</x:f>
        <x:v>28.8475</x:v>
      </x:c>
      <x:c r="N25" s="16" t="str">
        <x:v>{"window_days": 180}</x:v>
      </x:c>
      <x:c r="O25" s="16" t="str">
        <x:v>topn_full_tuning_results.csv</x:v>
      </x:c>
      <x:c r="P25" s="16" t="str">
        <x:v>amazon_recbole::RecentPop::{"window_days": 180}</x:v>
      </x:c>
      <x:c r="Q25" s="13" t="str"/>
    </x:row>
    <x:row r="26" ht="38" customHeight="1">
      <x:c r="A26" s="13" t="str">
        <x:v>Top-N</x:v>
      </x:c>
      <x:c r="B26" s="13" t="str">
        <x:v>movielens_recbole</x:v>
      </x:c>
      <x:c r="C26" s="13" t="str">
        <x:v>BPR</x:v>
      </x:c>
      <x:c r="D26" s="13" t="str">
        <x:v>existing</x:v>
      </x:c>
      <x:c r="E26" s="13" t="str">
        <x:v>cuda</x:v>
      </x:c>
      <x:c r="F26" s="14" t="n">
        <x:v>0.2422</x:v>
      </x:c>
      <x:c r="G26" s="14" t="n">
        <x:v>0.3546</x:v>
      </x:c>
      <x:c r="H26" s="14" t="n">
        <x:v>0.0786</x:v>
      </x:c>
      <x:c r="I26" s="14" t="n">
        <x:v>0.084</x:v>
      </x:c>
      <x:c r="J26" s="14" t="n">
        <x:v>0.1398</x:v>
      </x:c>
      <x:c r="K26" s="14" t="n">
        <x:v>0.1546</x:v>
      </x:c>
      <x:c r="L26" s="15" t="n">
        <x:v>5134.07</x:v>
      </x:c>
      <x:c r="M26" s="15" t="n">
        <x:f>IFERROR(L26/60,"")</x:f>
        <x:v>85.56783333333333</x:v>
      </x:c>
      <x:c r="N26" s="16" t="str">
        <x:v>{"embedding_size": 32, "epochs": 50, "learning_rate": 0.0005, "train_neg_sample_args": {"alpha": 1.0, "candidate_num": 0, "distribution": "uniform", "dynamic": false, "sample_num": 1}}</x:v>
      </x:c>
      <x:c r="O26" s="16" t="str">
        <x:v>topn_full_tuning_results.csv</x:v>
      </x:c>
      <x:c r="P26" s="16" t="str">
        <x:v>movielens_recbole::BPR::{"embedding_size": 32, "epochs": 50, "learning_rate": 0.0005, "train_neg_sample_args": {"alpha": 1.0, "candidate_num": 0, "distribution": "uniform", "dynamic": false, "sample_num": 1}}</x:v>
      </x:c>
      <x:c r="Q26" s="13" t="str">
        <x:v>Ja</x:v>
      </x:c>
    </x:row>
    <x:row r="27" ht="38" customHeight="1">
      <x:c r="A27" s="13" t="str">
        <x:v>Top-N</x:v>
      </x:c>
      <x:c r="B27" s="13" t="str">
        <x:v>movielens_recbole</x:v>
      </x:c>
      <x:c r="C27" s="13" t="str">
        <x:v>DecayPop</x:v>
      </x:c>
      <x:c r="D27" s="13" t="str">
        <x:v>existing</x:v>
      </x:c>
      <x:c r="E27" s="13" t="str">
        <x:v>cuda</x:v>
      </x:c>
      <x:c r="F27" s="14" t="n">
        <x:v>0.1734</x:v>
      </x:c>
      <x:c r="G27" s="14" t="n">
        <x:v>0.251</x:v>
      </x:c>
      <x:c r="H27" s="14" t="n">
        <x:v>0.0535</x:v>
      </x:c>
      <x:c r="I27" s="14" t="n">
        <x:v>0.0558</x:v>
      </x:c>
      <x:c r="J27" s="14" t="n">
        <x:v>0.0962</x:v>
      </x:c>
      <x:c r="K27" s="14" t="n">
        <x:v>0.1065</x:v>
      </x:c>
      <x:c r="L27" s="15" t="n">
        <x:v>423.75</x:v>
      </x:c>
      <x:c r="M27" s="15" t="n">
        <x:f>IFERROR(L27/60,"")</x:f>
        <x:v>7.0625</x:v>
      </x:c>
      <x:c r="N27" s="16" t="str">
        <x:v>{"decay_lambda": 1e-09}</x:v>
      </x:c>
      <x:c r="O27" s="16" t="str">
        <x:v>topn_full_tuning_results.csv</x:v>
      </x:c>
      <x:c r="P27" s="16" t="str">
        <x:v>movielens_recbole::DecayPop::{"decay_lambda": 1e-09}</x:v>
      </x:c>
      <x:c r="Q27" s="13" t="str"/>
    </x:row>
    <x:row r="28" ht="38" customHeight="1">
      <x:c r="A28" s="13" t="str">
        <x:v>Top-N</x:v>
      </x:c>
      <x:c r="B28" s="13" t="str">
        <x:v>movielens_recbole</x:v>
      </x:c>
      <x:c r="C28" s="13" t="str">
        <x:v>MostPop</x:v>
      </x:c>
      <x:c r="D28" s="13" t="str">
        <x:v>existing</x:v>
      </x:c>
      <x:c r="E28" s="13" t="str">
        <x:v>cuda</x:v>
      </x:c>
      <x:c r="F28" s="14" t="n">
        <x:v>0.1697</x:v>
      </x:c>
      <x:c r="G28" s="14" t="n">
        <x:v>0.2479</x:v>
      </x:c>
      <x:c r="H28" s="14" t="n">
        <x:v>0.053</x:v>
      </x:c>
      <x:c r="I28" s="14" t="n">
        <x:v>0.0555</x:v>
      </x:c>
      <x:c r="J28" s="14" t="n">
        <x:v>0.0958</x:v>
      </x:c>
      <x:c r="K28" s="14" t="n">
        <x:v>0.1062</x:v>
      </x:c>
      <x:c r="L28" s="15" t="n">
        <x:v>284.62</x:v>
      </x:c>
      <x:c r="M28" s="15" t="n">
        <x:f>IFERROR(L28/60,"")</x:f>
        <x:v>4.743666666666667</x:v>
      </x:c>
      <x:c r="N28" s="16" t="str">
        <x:v>{}</x:v>
      </x:c>
      <x:c r="O28" s="16" t="str">
        <x:v>topn_full_tuning_results.csv</x:v>
      </x:c>
      <x:c r="P28" s="16" t="str">
        <x:v>movielens_recbole::MostPop::{}</x:v>
      </x:c>
      <x:c r="Q28" s="13" t="str"/>
    </x:row>
    <x:row r="29" ht="38" customHeight="1">
      <x:c r="A29" s="13" t="str">
        <x:v>Top-N</x:v>
      </x:c>
      <x:c r="B29" s="13" t="str">
        <x:v>movielens_recbole</x:v>
      </x:c>
      <x:c r="C29" s="13" t="str">
        <x:v>RecentPop</x:v>
      </x:c>
      <x:c r="D29" s="13" t="str">
        <x:v>existing</x:v>
      </x:c>
      <x:c r="E29" s="13" t="str">
        <x:v>cuda</x:v>
      </x:c>
      <x:c r="F29" s="14" t="n">
        <x:v>0.1203</x:v>
      </x:c>
      <x:c r="G29" s="14" t="n">
        <x:v>0.1997</x:v>
      </x:c>
      <x:c r="H29" s="14" t="n">
        <x:v>0.0355</x:v>
      </x:c>
      <x:c r="I29" s="14" t="n">
        <x:v>0.0395</x:v>
      </x:c>
      <x:c r="J29" s="14" t="n">
        <x:v>0.0674</x:v>
      </x:c>
      <x:c r="K29" s="14" t="n">
        <x:v>0.0776</x:v>
      </x:c>
      <x:c r="L29" s="15" t="n">
        <x:v>339.24</x:v>
      </x:c>
      <x:c r="M29" s="15" t="n">
        <x:f>IFERROR(L29/60,"")</x:f>
        <x:v>5.654</x:v>
      </x:c>
      <x:c r="N29" s="16" t="str">
        <x:v>{"window_days": 30}</x:v>
      </x:c>
      <x:c r="O29" s="16" t="str">
        <x:v>topn_full_tuning_results.csv</x:v>
      </x:c>
      <x:c r="P29" s="16" t="str">
        <x:v>movielens_recbole::RecentPop::{"window_days": 30}</x:v>
      </x:c>
      <x:c r="Q29" s="13" t="str"/>
    </x:row>
  </x:sheetData>
  <x:mergeCells>
    <x:mergeCell ref="A1:Q1"/>
    <x:mergeCell ref="A2:Q2"/>
  </x:mergeCells>
  <x:conditionalFormatting sqref="Q4:Q29">
    <x:cfRule type="containsText" dxfId="0" priority="1" operator="containsText" text="Ja"/>
  </x:conditionalFormatting>
  <x:pageMargins left="0.7" right="0.7" top="0.75" bottom="0.75" header="0.3" footer="0.3"/>
  <x:tableParts count="1">
    <x:tablePart xmlns:r="http://schemas.openxmlformats.org/officeDocument/2006/relationships" r:id="R903eb65032bb4a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62" hidden="0" customWidth="1"/>
    <x:col min="10" max="10" width="35" hidden="0" customWidth="1"/>
  </x:cols>
  <x:sheetData>
    <x:row r="1" ht="28" customHeight="1">
      <x:c r="A1" s="3" t="str">
        <x:v>Bestes Modell je Datensatz nach MRR@10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18" t="str">
        <x:v>Top-N- und Session-Szenarien werden getrennt interpretiert. Laufzeiten sind bei unterschiedlicher Hardware nur beschreibend.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32" customHeight="1">
      <x:c r="A3" s="12" t="str">
        <x:v>Szenario</x:v>
      </x:c>
      <x:c r="B3" s="12" t="str">
        <x:v>Datensatz</x:v>
      </x:c>
      <x:c r="C3" s="12" t="str">
        <x:v>Bestes Modell</x:v>
      </x:c>
      <x:c r="D3" s="12" t="str">
        <x:v>Gerät</x:v>
      </x:c>
      <x:c r="E3" s="12" t="str">
        <x:v>Hit@10</x:v>
      </x:c>
      <x:c r="F3" s="12" t="str">
        <x:v>NDCG@10</x:v>
      </x:c>
      <x:c r="G3" s="12" t="str">
        <x:v>MRR@10</x:v>
      </x:c>
      <x:c r="H3" s="12" t="str">
        <x:v>Laufzeit (s)</x:v>
      </x:c>
      <x:c r="I3" s="12" t="str">
        <x:v>Konfiguration</x:v>
      </x:c>
      <x:c r="J3" s="12" t="str">
        <x:v>Quelle</x:v>
      </x:c>
    </x:row>
    <x:row r="4" ht="45" customHeight="1">
      <x:c r="A4" s="20" t="str">
        <x:v>Session-based</x:v>
      </x:c>
      <x:c r="B4" s="20" t="str">
        <x:v>adressa_recbole_sample</x:v>
      </x:c>
      <x:c r="C4" s="21" t="str">
        <x:v>GRU4Rec</x:v>
      </x:c>
      <x:c r="D4" s="20" t="str">
        <x:v>cuda</x:v>
      </x:c>
      <x:c r="E4" s="22" t="n">
        <x:v>0.522</x:v>
      </x:c>
      <x:c r="F4" s="22" t="n">
        <x:v>0.2892</x:v>
      </x:c>
      <x:c r="G4" s="22" t="n">
        <x:v>0.2181</x:v>
      </x:c>
      <x:c r="H4" s="23" t="n">
        <x:v>26.18</x:v>
      </x:c>
      <x:c r="I4" s="24" t="str">
        <x:v>{"dropout_prob": 0.1, "epochs": 20, "eval_batch_size": 2048, "hidden_size": 256, "learning_rate": 0.001, "loss_type": "CE", "model": "GRU4Rec", "num_layers": 1, "train_batch_size": 2048, "train_neg_sample_args": null}</x:v>
      </x:c>
      <x:c r="J4" s="24" t="str">
        <x:v>session_full_tuning_results.csv</x:v>
      </x:c>
    </x:row>
    <x:row r="5" ht="45" customHeight="1">
      <x:c r="A5" s="20" t="str">
        <x:v>Session-based</x:v>
      </x:c>
      <x:c r="B5" s="20" t="str">
        <x:v>globo_recbole_sample</x:v>
      </x:c>
      <x:c r="C5" s="21" t="str">
        <x:v>GRU4Rec</x:v>
      </x:c>
      <x:c r="D5" s="20" t="str">
        <x:v>cuda</x:v>
      </x:c>
      <x:c r="E5" s="22" t="n">
        <x:v>0.3614</x:v>
      </x:c>
      <x:c r="F5" s="22" t="n">
        <x:v>0.1988</x:v>
      </x:c>
      <x:c r="G5" s="22" t="n">
        <x:v>0.1493</x:v>
      </x:c>
      <x:c r="H5" s="23" t="n">
        <x:v>27.36</x:v>
      </x:c>
      <x:c r="I5" s="24" t="str">
        <x:v>{"dropout_prob": 0.1, "epochs": 20, "eval_batch_size": 2048, "hidden_size": 256, "learning_rate": 0.001, "loss_type": "CE", "model": "GRU4Rec", "num_layers": 1, "train_batch_size": 2048, "train_neg_sample_args": null}</x:v>
      </x:c>
      <x:c r="J5" s="24" t="str">
        <x:v>session_full_tuning_results.csv</x:v>
      </x:c>
    </x:row>
    <x:row r="6" ht="45" customHeight="1">
      <x:c r="A6" s="20" t="str">
        <x:v>Session-based</x:v>
      </x:c>
      <x:c r="B6" s="20" t="str">
        <x:v>yoochoose_recbole_sample</x:v>
      </x:c>
      <x:c r="C6" s="21" t="str">
        <x:v>VSKNN</x:v>
      </x:c>
      <x:c r="D6" s="20" t="str">
        <x:v>cpu</x:v>
      </x:c>
      <x:c r="E6" s="22" t="n">
        <x:v>0.5377</x:v>
      </x:c>
      <x:c r="F6" s="22" t="n">
        <x:v>0.3478</x:v>
      </x:c>
      <x:c r="G6" s="22" t="n">
        <x:v>0.288</x:v>
      </x:c>
      <x:c r="H6" s="23" t="n">
        <x:v>190.56</x:v>
      </x:c>
      <x:c r="I6" s="24" t="str">
        <x:v>{"neighbor_size": 100, "sample_size": 500, "sampling": "recent", "score_weighting": "quadratic", "session_weighting": "div", "similarity": "vec"}</x:v>
      </x:c>
      <x:c r="J6" s="24" t="str">
        <x:v>compact_tuning_best_by_dataset.csv</x:v>
      </x:c>
    </x:row>
    <x:row r="7" ht="45" customHeight="1">
      <x:c r="A7" s="20" t="str">
        <x:v>Top-N</x:v>
      </x:c>
      <x:c r="B7" s="20" t="str">
        <x:v>amazon_recbole</x:v>
      </x:c>
      <x:c r="C7" s="21" t="str">
        <x:v>BPR</x:v>
      </x:c>
      <x:c r="D7" s="20" t="str">
        <x:v>cuda</x:v>
      </x:c>
      <x:c r="E7" s="22" t="n">
        <x:v>0.0754</x:v>
      </x:c>
      <x:c r="F7" s="22" t="n">
        <x:v>0.0573</x:v>
      </x:c>
      <x:c r="G7" s="22" t="n">
        <x:v>0.0519</x:v>
      </x:c>
      <x:c r="H7" s="23" t="n">
        <x:v>12903.07</x:v>
      </x:c>
      <x:c r="I7" s="24" t="str">
        <x:v>{"embedding_size": 128, "epochs": 50, "learning_rate": 0.001, "train_neg_sample_args": {"alpha": 1.0, "candidate_num": 0, "distribution": "uniform", "dynamic": false, "sample_num": 1}}</x:v>
      </x:c>
      <x:c r="J7" s="24" t="str">
        <x:v>topn_full_tuning_results.csv</x:v>
      </x:c>
    </x:row>
    <x:row r="8" ht="45" customHeight="1">
      <x:c r="A8" s="20" t="str">
        <x:v>Top-N</x:v>
      </x:c>
      <x:c r="B8" s="20" t="str">
        <x:v>movielens_recbole</x:v>
      </x:c>
      <x:c r="C8" s="21" t="str">
        <x:v>BPR</x:v>
      </x:c>
      <x:c r="D8" s="20" t="str">
        <x:v>cuda</x:v>
      </x:c>
      <x:c r="E8" s="22" t="n">
        <x:v>0.3546</x:v>
      </x:c>
      <x:c r="F8" s="22" t="n">
        <x:v>0.084</x:v>
      </x:c>
      <x:c r="G8" s="22" t="n">
        <x:v>0.1546</x:v>
      </x:c>
      <x:c r="H8" s="23" t="n">
        <x:v>5134.07</x:v>
      </x:c>
      <x:c r="I8" s="24" t="str">
        <x:v>{"embedding_size": 32, "epochs": 50, "learning_rate": 0.0005, "train_neg_sample_args": {"alpha": 1.0, "candidate_num": 0, "distribution": "uniform", "dynamic": false, "sample_num": 1}}</x:v>
      </x:c>
      <x:c r="J8" s="24" t="str">
        <x:v>topn_full_tuning_results.csv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79d62ec7d8247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25" hidden="0" customWidth="1"/>
  </x:cols>
  <x:sheetData>
    <x:row r="1" ht="28" customHeight="1">
      <x:c r="A1" s="3" t="str">
        <x:v>VSKNN: Legacy-Lauf versus korrigierte und kompakt getunte Implementierung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27" t="str">
        <x:v>Die Differenzen enthalten sowohl Korrekturen als auch Tuningeffekte und isolieren daher keine einzelne Codeänderung.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 ht="42" customHeight="1">
      <x:c r="A3" s="12" t="str">
        <x:v>Datensatz</x:v>
      </x:c>
      <x:c r="B3" s="12" t="str">
        <x:v>Legacy Hit@10</x:v>
      </x:c>
      <x:c r="C3" s="12" t="str">
        <x:v>Aktuell Hit@10</x:v>
      </x:c>
      <x:c r="D3" s="12" t="str">
        <x:v>Δ Hit@10</x:v>
      </x:c>
      <x:c r="E3" s="12" t="str">
        <x:v>Legacy NDCG@10</x:v>
      </x:c>
      <x:c r="F3" s="12" t="str">
        <x:v>Aktuell NDCG@10</x:v>
      </x:c>
      <x:c r="G3" s="12" t="str">
        <x:v>Δ NDCG@10</x:v>
      </x:c>
      <x:c r="H3" s="12" t="str">
        <x:v>Legacy MRR@10</x:v>
      </x:c>
      <x:c r="I3" s="12" t="str">
        <x:v>Aktuell MRR@10</x:v>
      </x:c>
      <x:c r="J3" s="12" t="str">
        <x:v>Δ MRR@10</x:v>
      </x:c>
      <x:c r="K3" s="12" t="str">
        <x:v>Rel. Δ MRR</x:v>
      </x:c>
      <x:c r="L3" s="12" t="str">
        <x:v>Neighbor Size</x:v>
      </x:c>
      <x:c r="M3" s="12" t="str">
        <x:v>Sample Size</x:v>
      </x:c>
      <x:c r="N3" s="12" t="str">
        <x:v>Gewichtungen</x:v>
      </x:c>
    </x:row>
    <x:row r="4">
      <x:c r="A4" s="13" t="str">
        <x:v>yoochoose_recbole_sample</x:v>
      </x:c>
      <x:c r="B4" s="14" t="n">
        <x:v>0.4947</x:v>
      </x:c>
      <x:c r="C4" s="14" t="n">
        <x:v>0.5377</x:v>
      </x:c>
      <x:c r="D4" s="14" t="n">
        <x:f>C4-B4</x:f>
        <x:v>0.04299999999999998</x:v>
      </x:c>
      <x:c r="E4" s="14" t="n">
        <x:v>0.3177</x:v>
      </x:c>
      <x:c r="F4" s="14" t="n">
        <x:v>0.3478</x:v>
      </x:c>
      <x:c r="G4" s="14" t="n">
        <x:f>F4-E4</x:f>
        <x:v>0.030100000000000016</x:v>
      </x:c>
      <x:c r="H4" s="14" t="n">
        <x:v>0.2624</x:v>
      </x:c>
      <x:c r="I4" s="14" t="n">
        <x:v>0.288</x:v>
      </x:c>
      <x:c r="J4" s="14" t="n">
        <x:f>I4-H4</x:f>
        <x:v>0.025599999999999956</x:v>
      </x:c>
      <x:c r="K4" s="28" t="n">
        <x:f>IFERROR(J4/H4,"")</x:f>
        <x:v>0.09756097560975592</x:v>
      </x:c>
      <x:c r="L4" s="13" t="n">
        <x:v>100</x:v>
      </x:c>
      <x:c r="M4" s="13" t="n">
        <x:v>500</x:v>
      </x:c>
      <x:c r="N4" s="13" t="str">
        <x:v>vec / div / quadratic</x:v>
      </x:c>
    </x:row>
    <x:row r="5">
      <x:c r="A5" s="13" t="str">
        <x:v>globo_recbole_sample</x:v>
      </x:c>
      <x:c r="B5" s="14" t="n">
        <x:v>0.3373</x:v>
      </x:c>
      <x:c r="C5" s="14" t="n">
        <x:v>0.3298</x:v>
      </x:c>
      <x:c r="D5" s="14" t="n">
        <x:f>C5-B5</x:f>
        <x:v>-0.007500000000000007</x:v>
      </x:c>
      <x:c r="E5" s="14" t="n">
        <x:v>0.1326</x:v>
      </x:c>
      <x:c r="F5" s="14" t="n">
        <x:v>0.1341</x:v>
      </x:c>
      <x:c r="G5" s="14" t="n">
        <x:f>F5-E5</x:f>
        <x:v>0.0015000000000000013</x:v>
      </x:c>
      <x:c r="H5" s="14" t="n">
        <x:v>0.0713</x:v>
      </x:c>
      <x:c r="I5" s="14" t="n">
        <x:v>0.0751</x:v>
      </x:c>
      <x:c r="J5" s="14" t="n">
        <x:f>I5-H5</x:f>
        <x:v>0.003799999999999998</x:v>
      </x:c>
      <x:c r="K5" s="28" t="n">
        <x:f>IFERROR(J5/H5,"")</x:f>
        <x:v>0.05329593267882185</x:v>
      </x:c>
      <x:c r="L5" s="13" t="n">
        <x:v>100</x:v>
      </x:c>
      <x:c r="M5" s="13" t="n">
        <x:v>1000</x:v>
      </x:c>
      <x:c r="N5" s="13" t="str">
        <x:v>vec / div / div</x:v>
      </x:c>
    </x:row>
    <x:row r="6">
      <x:c r="A6" s="13" t="str">
        <x:v>adressa_recbole_sample</x:v>
      </x:c>
      <x:c r="B6" s="14" t="n">
        <x:v>0.3428</x:v>
      </x:c>
      <x:c r="C6" s="14" t="n">
        <x:v>0.4313</x:v>
      </x:c>
      <x:c r="D6" s="14" t="n">
        <x:f>C6-B6</x:f>
        <x:v>0.08850000000000002</x:v>
      </x:c>
      <x:c r="E6" s="14" t="n">
        <x:v>0.1735</x:v>
      </x:c>
      <x:c r="F6" s="14" t="n">
        <x:v>0.2312</x:v>
      </x:c>
      <x:c r="G6" s="14" t="n">
        <x:f>F6-E6</x:f>
        <x:v>0.0577</x:v>
      </x:c>
      <x:c r="H6" s="14" t="n">
        <x:v>0.1225</x:v>
      </x:c>
      <x:c r="I6" s="14" t="n">
        <x:v>0.1703</x:v>
      </x:c>
      <x:c r="J6" s="14" t="n">
        <x:f>I6-H6</x:f>
        <x:v>0.04780000000000001</x:v>
      </x:c>
      <x:c r="K6" s="28" t="n">
        <x:f>IFERROR(J6/H6,"")</x:f>
        <x:v>0.39020408163265313</x:v>
      </x:c>
      <x:c r="L6" s="13" t="n">
        <x:v>200</x:v>
      </x:c>
      <x:c r="M6" s="13" t="n">
        <x:v>500</x:v>
      </x:c>
      <x:c r="N6" s="13" t="str">
        <x:v>vec / div / div</x:v>
      </x:c>
    </x:row>
  </x:sheetData>
  <x:mergeCells>
    <x:mergeCell ref="A1:N1"/>
    <x:mergeCell ref="A2:N2"/>
  </x:mergeCells>
  <x:conditionalFormatting sqref="D4:K6">
    <x:cfRule type="cellIs" dxfId="1" priority="1" operator="greaterThan">
      <x:formula>0</x:formula>
    </x:cfRule>
    <x:cfRule type="cellIs" dxfId="2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2afaf3f5124a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8" customHeight="1">
      <x:c r="A1" s="3" t="str">
        <x:v>Qualitäts- und Laufzeitanalyse aller aktuellen Modell-Datensatz-Kombinationen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18" t="str">
        <x:v>MRR@10 ist die primäre Qualitätsmetrik. Laufzeitvergleiche zwischen CPU und CUDA sind nicht als Hardwarebenchmark zu interpretieren.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3" ht="42" customHeight="1">
      <x:c r="A3" s="12" t="str">
        <x:v>Szenario</x:v>
      </x:c>
      <x:c r="B3" s="12" t="str">
        <x:v>Datensatz</x:v>
      </x:c>
      <x:c r="C3" s="12" t="str">
        <x:v>Modell</x:v>
      </x:c>
      <x:c r="D3" s="12" t="str">
        <x:v>Hit@10</x:v>
      </x:c>
      <x:c r="E3" s="12" t="str">
        <x:v>NDCG@10</x:v>
      </x:c>
      <x:c r="F3" s="12" t="str">
        <x:v>MRR@10</x:v>
      </x:c>
      <x:c r="G3" s="12" t="str">
        <x:v>Laufzeit (s)</x:v>
      </x:c>
      <x:c r="H3" s="12" t="str">
        <x:v>Laufzeit (min)</x:v>
      </x:c>
      <x:c r="I3" s="12" t="str">
        <x:v>MRR@10/min</x:v>
      </x:c>
      <x:c r="J3" s="12" t="str">
        <x:v>Rang im Datensatz</x:v>
      </x:c>
      <x:c r="K3" s="12" t="str">
        <x:v>Relativ zum Besten</x:v>
      </x:c>
      <x:c r="L3" s="12" t="str">
        <x:v>Abstand zum Besten</x:v>
      </x:c>
      <x:c r="M3" s="12" t="str">
        <x:v>Pareto-effizient</x:v>
      </x:c>
    </x:row>
    <x:row r="4">
      <x:c r="A4" s="13" t="str">
        <x:f>'Best_Config_Per_Model'!A4</x:f>
        <x:v>Session-based</x:v>
      </x:c>
      <x:c r="B4" s="13" t="str">
        <x:f>'Best_Config_Per_Model'!B4</x:f>
        <x:v>adressa_recbole_sample</x:v>
      </x:c>
      <x:c r="C4" s="13" t="str">
        <x:f>'Best_Config_Per_Model'!C4</x:f>
        <x:v>GRU4Rec</x:v>
      </x:c>
      <x:c r="D4" s="14" t="n">
        <x:f>'Best_Config_Per_Model'!G4</x:f>
        <x:v>0.522</x:v>
      </x:c>
      <x:c r="E4" s="14" t="n">
        <x:f>'Best_Config_Per_Model'!I4</x:f>
        <x:v>0.2892</x:v>
      </x:c>
      <x:c r="F4" s="14" t="n">
        <x:f>'Best_Config_Per_Model'!K4</x:f>
        <x:v>0.2181</x:v>
      </x:c>
      <x:c r="G4" s="15" t="n">
        <x:f>'Best_Config_Per_Model'!L4</x:f>
        <x:v>26.18</x:v>
      </x:c>
      <x:c r="H4" s="15" t="n">
        <x:f>IFERROR(G4/60,"")</x:f>
        <x:v>0.43633333333333335</x:v>
      </x:c>
      <x:c r="I4" s="14" t="n">
        <x:f>IFERROR(F4/H4,"")</x:f>
        <x:v>0.4998472116119175</x:v>
      </x:c>
      <x:c r="J4" s="13" t="n">
        <x:f>1+COUNTIFS($B$4:$B$29,B4,$F$4:$F$29,"&gt;"&amp;F4)</x:f>
        <x:v>1</x:v>
      </x:c>
      <x:c r="K4" s="28" t="n">
        <x:f>IFERROR(F4/MAXIFS($F$4:$F$29,$B$4:$B$29,B4),"")</x:f>
        <x:v>1</x:v>
      </x:c>
      <x:c r="L4" s="13" t="n">
        <x:f>MAXIFS($F$4:$F$29,$B$4:$B$29,B4)-F4</x:f>
        <x:v>0</x:v>
      </x:c>
      <x:c r="M4" s="13" t="str">
        <x:f>IF(COUNTIFS($B$4:$B$29,B4,$F$4:$F$29,"&gt;="&amp;F4,$G$4:$G$29,"&lt;="&amp;G4)&gt;1,"Nein","Ja")</x:f>
        <x:v>Ja</x:v>
      </x:c>
    </x:row>
    <x:row r="5">
      <x:c r="A5" s="13" t="str">
        <x:f>'Best_Config_Per_Model'!A5</x:f>
        <x:v>Session-based</x:v>
      </x:c>
      <x:c r="B5" s="13" t="str">
        <x:f>'Best_Config_Per_Model'!B5</x:f>
        <x:v>adressa_recbole_sample</x:v>
      </x:c>
      <x:c r="C5" s="13" t="str">
        <x:f>'Best_Config_Per_Model'!C5</x:f>
        <x:v>VSKNN</x:v>
      </x:c>
      <x:c r="D5" s="14" t="n">
        <x:f>'Best_Config_Per_Model'!G5</x:f>
        <x:v>0.4313</x:v>
      </x:c>
      <x:c r="E5" s="14" t="n">
        <x:f>'Best_Config_Per_Model'!I5</x:f>
        <x:v>0.2312</x:v>
      </x:c>
      <x:c r="F5" s="14" t="n">
        <x:f>'Best_Config_Per_Model'!K5</x:f>
        <x:v>0.1703</x:v>
      </x:c>
      <x:c r="G5" s="15" t="n">
        <x:f>'Best_Config_Per_Model'!L5</x:f>
        <x:v>142.53</x:v>
      </x:c>
      <x:c r="H5" s="15" t="n">
        <x:f>IFERROR(G5/60,"")</x:f>
        <x:v>2.3755</x:v>
      </x:c>
      <x:c r="I5" s="14" t="n">
        <x:f>IFERROR(F5/H5,"")</x:f>
        <x:v>0.07169017049042306</x:v>
      </x:c>
      <x:c r="J5" s="13" t="n">
        <x:f>1+COUNTIFS($B$4:$B$29,B5,$F$4:$F$29,"&gt;"&amp;F5)</x:f>
        <x:v>2</x:v>
      </x:c>
      <x:c r="K5" s="28" t="n">
        <x:f>IFERROR(F5/MAXIFS($F$4:$F$29,$B$4:$B$29,B5),"")</x:f>
        <x:v>0.7808344795965154</x:v>
      </x:c>
      <x:c r="L5" s="13" t="n">
        <x:f>MAXIFS($F$4:$F$29,$B$4:$B$29,B5)-F5</x:f>
        <x:v>0.04779999999999998</x:v>
      </x:c>
      <x:c r="M5" s="13" t="str">
        <x:f>IF(COUNTIFS($B$4:$B$29,B5,$F$4:$F$29,"&gt;="&amp;F5,$G$4:$G$29,"&lt;="&amp;G5)&gt;1,"Nein","Ja")</x:f>
        <x:v>Nein</x:v>
      </x:c>
    </x:row>
    <x:row r="6">
      <x:c r="A6" s="13" t="str">
        <x:f>'Best_Config_Per_Model'!A6</x:f>
        <x:v>Session-based</x:v>
      </x:c>
      <x:c r="B6" s="13" t="str">
        <x:f>'Best_Config_Per_Model'!B6</x:f>
        <x:v>adressa_recbole_sample</x:v>
      </x:c>
      <x:c r="C6" s="13" t="str">
        <x:f>'Best_Config_Per_Model'!C6</x:f>
        <x:v>VSTAN</x:v>
      </x:c>
      <x:c r="D6" s="14" t="n">
        <x:f>'Best_Config_Per_Model'!G6</x:f>
        <x:v>0.4204</x:v>
      </x:c>
      <x:c r="E6" s="14" t="n">
        <x:f>'Best_Config_Per_Model'!I6</x:f>
        <x:v>0.2221</x:v>
      </x:c>
      <x:c r="F6" s="14" t="n">
        <x:f>'Best_Config_Per_Model'!K6</x:f>
        <x:v>0.1619</x:v>
      </x:c>
      <x:c r="G6" s="15" t="n">
        <x:f>'Best_Config_Per_Model'!L6</x:f>
        <x:v>2795.94</x:v>
      </x:c>
      <x:c r="H6" s="15" t="n">
        <x:f>IFERROR(G6/60,"")</x:f>
        <x:v>46.599000000000004</x:v>
      </x:c>
      <x:c r="I6" s="14" t="n">
        <x:f>IFERROR(F6/H6,"")</x:f>
        <x:v>0.003474323483336552</x:v>
      </x:c>
      <x:c r="J6" s="13" t="n">
        <x:f>1+COUNTIFS($B$4:$B$29,B6,$F$4:$F$29,"&gt;"&amp;F6)</x:f>
        <x:v>3</x:v>
      </x:c>
      <x:c r="K6" s="28" t="n">
        <x:f>IFERROR(F6/MAXIFS($F$4:$F$29,$B$4:$B$29,B6),"")</x:f>
        <x:v>0.7423200366804218</x:v>
      </x:c>
      <x:c r="L6" s="13" t="n">
        <x:f>MAXIFS($F$4:$F$29,$B$4:$B$29,B6)-F6</x:f>
        <x:v>0.0562</x:v>
      </x:c>
      <x:c r="M6" s="13" t="str">
        <x:f>IF(COUNTIFS($B$4:$B$29,B6,$F$4:$F$29,"&gt;="&amp;F6,$G$4:$G$29,"&lt;="&amp;G6)&gt;1,"Nein","Ja")</x:f>
        <x:v>Nein</x:v>
      </x:c>
    </x:row>
    <x:row r="7">
      <x:c r="A7" s="13" t="str">
        <x:f>'Best_Config_Per_Model'!A7</x:f>
        <x:v>Session-based</x:v>
      </x:c>
      <x:c r="B7" s="13" t="str">
        <x:f>'Best_Config_Per_Model'!B7</x:f>
        <x:v>adressa_recbole_sample</x:v>
      </x:c>
      <x:c r="C7" s="13" t="str">
        <x:f>'Best_Config_Per_Model'!C7</x:f>
        <x:v>RecentPop</x:v>
      </x:c>
      <x:c r="D7" s="14" t="n">
        <x:f>'Best_Config_Per_Model'!G7</x:f>
        <x:v>0.3815</x:v>
      </x:c>
      <x:c r="E7" s="14" t="n">
        <x:f>'Best_Config_Per_Model'!I7</x:f>
        <x:v>0.1884</x:v>
      </x:c>
      <x:c r="F7" s="14" t="n">
        <x:f>'Best_Config_Per_Model'!K7</x:f>
        <x:v>0.1296</x:v>
      </x:c>
      <x:c r="G7" s="15" t="n">
        <x:f>'Best_Config_Per_Model'!L7</x:f>
        <x:v>6.48</x:v>
      </x:c>
      <x:c r="H7" s="15" t="n">
        <x:f>IFERROR(G7/60,"")</x:f>
        <x:v>0.10800000000000001</x:v>
      </x:c>
      <x:c r="I7" s="14" t="n">
        <x:f>IFERROR(F7/H7,"")</x:f>
        <x:v>1.1999999999999997</x:v>
      </x:c>
      <x:c r="J7" s="13" t="n">
        <x:f>1+COUNTIFS($B$4:$B$29,B7,$F$4:$F$29,"&gt;"&amp;F7)</x:f>
        <x:v>4</x:v>
      </x:c>
      <x:c r="K7" s="28" t="n">
        <x:f>IFERROR(F7/MAXIFS($F$4:$F$29,$B$4:$B$29,B7),"")</x:f>
        <x:v>0.594222833562586</x:v>
      </x:c>
      <x:c r="L7" s="13" t="n">
        <x:f>MAXIFS($F$4:$F$29,$B$4:$B$29,B7)-F7</x:f>
        <x:v>0.0885</x:v>
      </x:c>
      <x:c r="M7" s="13" t="str">
        <x:f>IF(COUNTIFS($B$4:$B$29,B7,$F$4:$F$29,"&gt;="&amp;F7,$G$4:$G$29,"&lt;="&amp;G7)&gt;1,"Nein","Ja")</x:f>
        <x:v>Ja</x:v>
      </x:c>
    </x:row>
    <x:row r="8">
      <x:c r="A8" s="13" t="str">
        <x:f>'Best_Config_Per_Model'!A8</x:f>
        <x:v>Session-based</x:v>
      </x:c>
      <x:c r="B8" s="13" t="str">
        <x:f>'Best_Config_Per_Model'!B8</x:f>
        <x:v>adressa_recbole_sample</x:v>
      </x:c>
      <x:c r="C8" s="13" t="str">
        <x:f>'Best_Config_Per_Model'!C8</x:f>
        <x:v>DecayPop</x:v>
      </x:c>
      <x:c r="D8" s="14" t="n">
        <x:f>'Best_Config_Per_Model'!G8</x:f>
        <x:v>0.3734</x:v>
      </x:c>
      <x:c r="E8" s="14" t="n">
        <x:f>'Best_Config_Per_Model'!I8</x:f>
        <x:v>0.1841</x:v>
      </x:c>
      <x:c r="F8" s="14" t="n">
        <x:f>'Best_Config_Per_Model'!K8</x:f>
        <x:v>0.1268</x:v>
      </x:c>
      <x:c r="G8" s="15" t="n">
        <x:f>'Best_Config_Per_Model'!L8</x:f>
        <x:v>7.94</x:v>
      </x:c>
      <x:c r="H8" s="15" t="n">
        <x:f>IFERROR(G8/60,"")</x:f>
        <x:v>0.13233333333333333</x:v>
      </x:c>
      <x:c r="I8" s="14" t="n">
        <x:f>IFERROR(F8/H8,"")</x:f>
        <x:v>0.9581863979848867</x:v>
      </x:c>
      <x:c r="J8" s="13" t="n">
        <x:f>1+COUNTIFS($B$4:$B$29,B8,$F$4:$F$29,"&gt;"&amp;F8)</x:f>
        <x:v>5</x:v>
      </x:c>
      <x:c r="K8" s="28" t="n">
        <x:f>IFERROR(F8/MAXIFS($F$4:$F$29,$B$4:$B$29,B8),"")</x:f>
        <x:v>0.5813846859238881</x:v>
      </x:c>
      <x:c r="L8" s="13" t="n">
        <x:f>MAXIFS($F$4:$F$29,$B$4:$B$29,B8)-F8</x:f>
        <x:v>0.09129999999999999</x:v>
      </x:c>
      <x:c r="M8" s="13" t="str">
        <x:f>IF(COUNTIFS($B$4:$B$29,B8,$F$4:$F$29,"&gt;="&amp;F8,$G$4:$G$29,"&lt;="&amp;G8)&gt;1,"Nein","Ja")</x:f>
        <x:v>Nein</x:v>
      </x:c>
    </x:row>
    <x:row r="9">
      <x:c r="A9" s="13" t="str">
        <x:f>'Best_Config_Per_Model'!A9</x:f>
        <x:v>Session-based</x:v>
      </x:c>
      <x:c r="B9" s="13" t="str">
        <x:f>'Best_Config_Per_Model'!B9</x:f>
        <x:v>adressa_recbole_sample</x:v>
      </x:c>
      <x:c r="C9" s="13" t="str">
        <x:f>'Best_Config_Per_Model'!C9</x:f>
        <x:v>MostPop</x:v>
      </x:c>
      <x:c r="D9" s="14" t="n">
        <x:f>'Best_Config_Per_Model'!G9</x:f>
        <x:v>0.3734</x:v>
      </x:c>
      <x:c r="E9" s="14" t="n">
        <x:f>'Best_Config_Per_Model'!I9</x:f>
        <x:v>0.1841</x:v>
      </x:c>
      <x:c r="F9" s="14" t="n">
        <x:f>'Best_Config_Per_Model'!K9</x:f>
        <x:v>0.1268</x:v>
      </x:c>
      <x:c r="G9" s="15" t="n">
        <x:f>'Best_Config_Per_Model'!L9</x:f>
        <x:v>6.4</x:v>
      </x:c>
      <x:c r="H9" s="15" t="n">
        <x:f>IFERROR(G9/60,"")</x:f>
        <x:v>0.10666666666666667</x:v>
      </x:c>
      <x:c r="I9" s="14" t="n">
        <x:f>IFERROR(F9/H9,"")</x:f>
        <x:v>1.18875</x:v>
      </x:c>
      <x:c r="J9" s="13" t="n">
        <x:f>1+COUNTIFS($B$4:$B$29,B9,$F$4:$F$29,"&gt;"&amp;F9)</x:f>
        <x:v>5</x:v>
      </x:c>
      <x:c r="K9" s="28" t="n">
        <x:f>IFERROR(F9/MAXIFS($F$4:$F$29,$B$4:$B$29,B9),"")</x:f>
        <x:v>0.5813846859238881</x:v>
      </x:c>
      <x:c r="L9" s="13" t="n">
        <x:f>MAXIFS($F$4:$F$29,$B$4:$B$29,B9)-F9</x:f>
        <x:v>0.09129999999999999</x:v>
      </x:c>
      <x:c r="M9" s="13" t="str">
        <x:f>IF(COUNTIFS($B$4:$B$29,B9,$F$4:$F$29,"&gt;="&amp;F9,$G$4:$G$29,"&lt;="&amp;G9)&gt;1,"Nein","Ja")</x:f>
        <x:v>Ja</x:v>
      </x:c>
    </x:row>
    <x:row r="10">
      <x:c r="A10" s="13" t="str">
        <x:f>'Best_Config_Per_Model'!A10</x:f>
        <x:v>Session-based</x:v>
      </x:c>
      <x:c r="B10" s="13" t="str">
        <x:f>'Best_Config_Per_Model'!B10</x:f>
        <x:v>globo_recbole_sample</x:v>
      </x:c>
      <x:c r="C10" s="13" t="str">
        <x:f>'Best_Config_Per_Model'!C10</x:f>
        <x:v>GRU4Rec</x:v>
      </x:c>
      <x:c r="D10" s="14" t="n">
        <x:f>'Best_Config_Per_Model'!G10</x:f>
        <x:v>0.3614</x:v>
      </x:c>
      <x:c r="E10" s="14" t="n">
        <x:f>'Best_Config_Per_Model'!I10</x:f>
        <x:v>0.1988</x:v>
      </x:c>
      <x:c r="F10" s="14" t="n">
        <x:f>'Best_Config_Per_Model'!K10</x:f>
        <x:v>0.1493</x:v>
      </x:c>
      <x:c r="G10" s="15" t="n">
        <x:f>'Best_Config_Per_Model'!L10</x:f>
        <x:v>27.36</x:v>
      </x:c>
      <x:c r="H10" s="15" t="n">
        <x:f>IFERROR(G10/60,"")</x:f>
        <x:v>0.456</x:v>
      </x:c>
      <x:c r="I10" s="14" t="n">
        <x:f>IFERROR(F10/H10,"")</x:f>
        <x:v>0.3274122807017543</x:v>
      </x:c>
      <x:c r="J10" s="13" t="n">
        <x:f>1+COUNTIFS($B$4:$B$29,B10,$F$4:$F$29,"&gt;"&amp;F10)</x:f>
        <x:v>1</x:v>
      </x:c>
      <x:c r="K10" s="28" t="n">
        <x:f>IFERROR(F10/MAXIFS($F$4:$F$29,$B$4:$B$29,B10),"")</x:f>
        <x:v>1</x:v>
      </x:c>
      <x:c r="L10" s="13" t="n">
        <x:f>MAXIFS($F$4:$F$29,$B$4:$B$29,B10)-F10</x:f>
        <x:v>0</x:v>
      </x:c>
      <x:c r="M10" s="13" t="str">
        <x:f>IF(COUNTIFS($B$4:$B$29,B10,$F$4:$F$29,"&gt;="&amp;F10,$G$4:$G$29,"&lt;="&amp;G10)&gt;1,"Nein","Ja")</x:f>
        <x:v>Ja</x:v>
      </x:c>
    </x:row>
    <x:row r="11">
      <x:c r="A11" s="13" t="str">
        <x:f>'Best_Config_Per_Model'!A11</x:f>
        <x:v>Session-based</x:v>
      </x:c>
      <x:c r="B11" s="13" t="str">
        <x:f>'Best_Config_Per_Model'!B11</x:f>
        <x:v>globo_recbole_sample</x:v>
      </x:c>
      <x:c r="C11" s="13" t="str">
        <x:f>'Best_Config_Per_Model'!C11</x:f>
        <x:v>VSTAN</x:v>
      </x:c>
      <x:c r="D11" s="14" t="n">
        <x:f>'Best_Config_Per_Model'!G11</x:f>
        <x:v>0.3644</x:v>
      </x:c>
      <x:c r="E11" s="14" t="n">
        <x:f>'Best_Config_Per_Model'!I11</x:f>
        <x:v>0.1482</x:v>
      </x:c>
      <x:c r="F11" s="14" t="n">
        <x:f>'Best_Config_Per_Model'!K11</x:f>
        <x:v>0.0831</x:v>
      </x:c>
      <x:c r="G11" s="15" t="n">
        <x:f>'Best_Config_Per_Model'!L11</x:f>
        <x:v>287.73</x:v>
      </x:c>
      <x:c r="H11" s="15" t="n">
        <x:f>IFERROR(G11/60,"")</x:f>
        <x:v>4.7955000000000005</x:v>
      </x:c>
      <x:c r="I11" s="14" t="n">
        <x:f>IFERROR(F11/H11,"")</x:f>
        <x:v>0.017328745699092898</x:v>
      </x:c>
      <x:c r="J11" s="13" t="n">
        <x:f>1+COUNTIFS($B$4:$B$29,B11,$F$4:$F$29,"&gt;"&amp;F11)</x:f>
        <x:v>2</x:v>
      </x:c>
      <x:c r="K11" s="28" t="n">
        <x:f>IFERROR(F11/MAXIFS($F$4:$F$29,$B$4:$B$29,B11),"")</x:f>
        <x:v>0.5565974547890155</x:v>
      </x:c>
      <x:c r="L11" s="13" t="n">
        <x:f>MAXIFS($F$4:$F$29,$B$4:$B$29,B11)-F11</x:f>
        <x:v>0.0662</x:v>
      </x:c>
      <x:c r="M11" s="13" t="str">
        <x:f>IF(COUNTIFS($B$4:$B$29,B11,$F$4:$F$29,"&gt;="&amp;F11,$G$4:$G$29,"&lt;="&amp;G11)&gt;1,"Nein","Ja")</x:f>
        <x:v>Nein</x:v>
      </x:c>
    </x:row>
    <x:row r="12">
      <x:c r="A12" s="13" t="str">
        <x:f>'Best_Config_Per_Model'!A12</x:f>
        <x:v>Session-based</x:v>
      </x:c>
      <x:c r="B12" s="13" t="str">
        <x:f>'Best_Config_Per_Model'!B12</x:f>
        <x:v>globo_recbole_sample</x:v>
      </x:c>
      <x:c r="C12" s="13" t="str">
        <x:f>'Best_Config_Per_Model'!C12</x:f>
        <x:v>VSKNN</x:v>
      </x:c>
      <x:c r="D12" s="14" t="n">
        <x:f>'Best_Config_Per_Model'!G12</x:f>
        <x:v>0.3298</x:v>
      </x:c>
      <x:c r="E12" s="14" t="n">
        <x:f>'Best_Config_Per_Model'!I12</x:f>
        <x:v>0.1341</x:v>
      </x:c>
      <x:c r="F12" s="14" t="n">
        <x:f>'Best_Config_Per_Model'!K12</x:f>
        <x:v>0.0751</x:v>
      </x:c>
      <x:c r="G12" s="15" t="n">
        <x:f>'Best_Config_Per_Model'!L12</x:f>
        <x:v>143.85</x:v>
      </x:c>
      <x:c r="H12" s="15" t="n">
        <x:f>IFERROR(G12/60,"")</x:f>
        <x:v>2.3975</x:v>
      </x:c>
      <x:c r="I12" s="14" t="n">
        <x:f>IFERROR(F12/H12,"")</x:f>
        <x:v>0.03132429614181439</x:v>
      </x:c>
      <x:c r="J12" s="13" t="n">
        <x:f>1+COUNTIFS($B$4:$B$29,B12,$F$4:$F$29,"&gt;"&amp;F12)</x:f>
        <x:v>3</x:v>
      </x:c>
      <x:c r="K12" s="28" t="n">
        <x:f>IFERROR(F12/MAXIFS($F$4:$F$29,$B$4:$B$29,B12),"")</x:f>
        <x:v>0.5030140656396518</x:v>
      </x:c>
      <x:c r="L12" s="13" t="n">
        <x:f>MAXIFS($F$4:$F$29,$B$4:$B$29,B12)-F12</x:f>
        <x:v>0.07419999999999999</x:v>
      </x:c>
      <x:c r="M12" s="13" t="str">
        <x:f>IF(COUNTIFS($B$4:$B$29,B12,$F$4:$F$29,"&gt;="&amp;F12,$G$4:$G$29,"&lt;="&amp;G12)&gt;1,"Nein","Ja")</x:f>
        <x:v>Nein</x:v>
      </x:c>
    </x:row>
    <x:row r="13">
      <x:c r="A13" s="13" t="str">
        <x:f>'Best_Config_Per_Model'!A13</x:f>
        <x:v>Session-based</x:v>
      </x:c>
      <x:c r="B13" s="13" t="str">
        <x:f>'Best_Config_Per_Model'!B13</x:f>
        <x:v>globo_recbole_sample</x:v>
      </x:c>
      <x:c r="C13" s="13" t="str">
        <x:f>'Best_Config_Per_Model'!C13</x:f>
        <x:v>DecayPop</x:v>
      </x:c>
      <x:c r="D13" s="14" t="n">
        <x:f>'Best_Config_Per_Model'!G13</x:f>
        <x:v>0.0626</x:v>
      </x:c>
      <x:c r="E13" s="14" t="n">
        <x:f>'Best_Config_Per_Model'!I13</x:f>
        <x:v>0.0316</x:v>
      </x:c>
      <x:c r="F13" s="14" t="n">
        <x:f>'Best_Config_Per_Model'!K13</x:f>
        <x:v>0.0224</x:v>
      </x:c>
      <x:c r="G13" s="15" t="n">
        <x:f>'Best_Config_Per_Model'!L13</x:f>
        <x:v>8.57</x:v>
      </x:c>
      <x:c r="H13" s="15" t="n">
        <x:f>IFERROR(G13/60,"")</x:f>
        <x:v>0.14283333333333334</x:v>
      </x:c>
      <x:c r="I13" s="14" t="n">
        <x:f>IFERROR(F13/H13,"")</x:f>
        <x:v>0.15682613768961493</x:v>
      </x:c>
      <x:c r="J13" s="13" t="n">
        <x:f>1+COUNTIFS($B$4:$B$29,B13,$F$4:$F$29,"&gt;"&amp;F13)</x:f>
        <x:v>4</x:v>
      </x:c>
      <x:c r="K13" s="28" t="n">
        <x:f>IFERROR(F13/MAXIFS($F$4:$F$29,$B$4:$B$29,B13),"")</x:f>
        <x:v>0.15003348961821836</x:v>
      </x:c>
      <x:c r="L13" s="13" t="n">
        <x:f>MAXIFS($F$4:$F$29,$B$4:$B$29,B13)-F13</x:f>
        <x:v>0.12689999999999999</x:v>
      </x:c>
      <x:c r="M13" s="13" t="str">
        <x:f>IF(COUNTIFS($B$4:$B$29,B13,$F$4:$F$29,"&gt;="&amp;F13,$G$4:$G$29,"&lt;="&amp;G13)&gt;1,"Nein","Ja")</x:f>
        <x:v>Nein</x:v>
      </x:c>
    </x:row>
    <x:row r="14">
      <x:c r="A14" s="13" t="str">
        <x:f>'Best_Config_Per_Model'!A14</x:f>
        <x:v>Session-based</x:v>
      </x:c>
      <x:c r="B14" s="13" t="str">
        <x:f>'Best_Config_Per_Model'!B14</x:f>
        <x:v>globo_recbole_sample</x:v>
      </x:c>
      <x:c r="C14" s="13" t="str">
        <x:f>'Best_Config_Per_Model'!C14</x:f>
        <x:v>MostPop</x:v>
      </x:c>
      <x:c r="D14" s="14" t="n">
        <x:f>'Best_Config_Per_Model'!G14</x:f>
        <x:v>0.0626</x:v>
      </x:c>
      <x:c r="E14" s="14" t="n">
        <x:f>'Best_Config_Per_Model'!I14</x:f>
        <x:v>0.0316</x:v>
      </x:c>
      <x:c r="F14" s="14" t="n">
        <x:f>'Best_Config_Per_Model'!K14</x:f>
        <x:v>0.0224</x:v>
      </x:c>
      <x:c r="G14" s="15" t="n">
        <x:f>'Best_Config_Per_Model'!L14</x:f>
        <x:v>6.93</x:v>
      </x:c>
      <x:c r="H14" s="15" t="n">
        <x:f>IFERROR(G14/60,"")</x:f>
        <x:v>0.11549999999999999</x:v>
      </x:c>
      <x:c r="I14" s="14" t="n">
        <x:f>IFERROR(F14/H14,"")</x:f>
        <x:v>0.19393939393939394</x:v>
      </x:c>
      <x:c r="J14" s="13" t="n">
        <x:f>1+COUNTIFS($B$4:$B$29,B14,$F$4:$F$29,"&gt;"&amp;F14)</x:f>
        <x:v>4</x:v>
      </x:c>
      <x:c r="K14" s="28" t="n">
        <x:f>IFERROR(F14/MAXIFS($F$4:$F$29,$B$4:$B$29,B14),"")</x:f>
        <x:v>0.15003348961821836</x:v>
      </x:c>
      <x:c r="L14" s="13" t="n">
        <x:f>MAXIFS($F$4:$F$29,$B$4:$B$29,B14)-F14</x:f>
        <x:v>0.12689999999999999</x:v>
      </x:c>
      <x:c r="M14" s="13" t="str">
        <x:f>IF(COUNTIFS($B$4:$B$29,B14,$F$4:$F$29,"&gt;="&amp;F14,$G$4:$G$29,"&lt;="&amp;G14)&gt;1,"Nein","Ja")</x:f>
        <x:v>Nein</x:v>
      </x:c>
    </x:row>
    <x:row r="15">
      <x:c r="A15" s="13" t="str">
        <x:f>'Best_Config_Per_Model'!A15</x:f>
        <x:v>Session-based</x:v>
      </x:c>
      <x:c r="B15" s="13" t="str">
        <x:f>'Best_Config_Per_Model'!B15</x:f>
        <x:v>globo_recbole_sample</x:v>
      </x:c>
      <x:c r="C15" s="13" t="str">
        <x:f>'Best_Config_Per_Model'!C15</x:f>
        <x:v>RecentPop</x:v>
      </x:c>
      <x:c r="D15" s="14" t="n">
        <x:f>'Best_Config_Per_Model'!G15</x:f>
        <x:v>0.0626</x:v>
      </x:c>
      <x:c r="E15" s="14" t="n">
        <x:f>'Best_Config_Per_Model'!I15</x:f>
        <x:v>0.0316</x:v>
      </x:c>
      <x:c r="F15" s="14" t="n">
        <x:f>'Best_Config_Per_Model'!K15</x:f>
        <x:v>0.0224</x:v>
      </x:c>
      <x:c r="G15" s="15" t="n">
        <x:f>'Best_Config_Per_Model'!L15</x:f>
        <x:v>6.81</x:v>
      </x:c>
      <x:c r="H15" s="15" t="n">
        <x:f>IFERROR(G15/60,"")</x:f>
        <x:v>0.11349999999999999</x:v>
      </x:c>
      <x:c r="I15" s="14" t="n">
        <x:f>IFERROR(F15/H15,"")</x:f>
        <x:v>0.19735682819383263</x:v>
      </x:c>
      <x:c r="J15" s="13" t="n">
        <x:f>1+COUNTIFS($B$4:$B$29,B15,$F$4:$F$29,"&gt;"&amp;F15)</x:f>
        <x:v>4</x:v>
      </x:c>
      <x:c r="K15" s="28" t="n">
        <x:f>IFERROR(F15/MAXIFS($F$4:$F$29,$B$4:$B$29,B15),"")</x:f>
        <x:v>0.15003348961821836</x:v>
      </x:c>
      <x:c r="L15" s="13" t="n">
        <x:f>MAXIFS($F$4:$F$29,$B$4:$B$29,B15)-F15</x:f>
        <x:v>0.12689999999999999</x:v>
      </x:c>
      <x:c r="M15" s="13" t="str">
        <x:f>IF(COUNTIFS($B$4:$B$29,B15,$F$4:$F$29,"&gt;="&amp;F15,$G$4:$G$29,"&lt;="&amp;G15)&gt;1,"Nein","Ja")</x:f>
        <x:v>Ja</x:v>
      </x:c>
    </x:row>
    <x:row r="16">
      <x:c r="A16" s="13" t="str">
        <x:f>'Best_Config_Per_Model'!A16</x:f>
        <x:v>Session-based</x:v>
      </x:c>
      <x:c r="B16" s="13" t="str">
        <x:f>'Best_Config_Per_Model'!B16</x:f>
        <x:v>yoochoose_recbole_sample</x:v>
      </x:c>
      <x:c r="C16" s="13" t="str">
        <x:f>'Best_Config_Per_Model'!C16</x:f>
        <x:v>VSKNN</x:v>
      </x:c>
      <x:c r="D16" s="14" t="n">
        <x:f>'Best_Config_Per_Model'!G16</x:f>
        <x:v>0.5377</x:v>
      </x:c>
      <x:c r="E16" s="14" t="n">
        <x:f>'Best_Config_Per_Model'!I16</x:f>
        <x:v>0.3478</x:v>
      </x:c>
      <x:c r="F16" s="14" t="n">
        <x:f>'Best_Config_Per_Model'!K16</x:f>
        <x:v>0.288</x:v>
      </x:c>
      <x:c r="G16" s="15" t="n">
        <x:f>'Best_Config_Per_Model'!L16</x:f>
        <x:v>190.56</x:v>
      </x:c>
      <x:c r="H16" s="15" t="n">
        <x:f>IFERROR(G16/60,"")</x:f>
        <x:v>3.176</x:v>
      </x:c>
      <x:c r="I16" s="14" t="n">
        <x:f>IFERROR(F16/H16,"")</x:f>
        <x:v>0.0906801007556675</x:v>
      </x:c>
      <x:c r="J16" s="13" t="n">
        <x:f>1+COUNTIFS($B$4:$B$29,B16,$F$4:$F$29,"&gt;"&amp;F16)</x:f>
        <x:v>1</x:v>
      </x:c>
      <x:c r="K16" s="28" t="n">
        <x:f>IFERROR(F16/MAXIFS($F$4:$F$29,$B$4:$B$29,B16),"")</x:f>
        <x:v>1</x:v>
      </x:c>
      <x:c r="L16" s="13" t="n">
        <x:f>MAXIFS($F$4:$F$29,$B$4:$B$29,B16)-F16</x:f>
        <x:v>0</x:v>
      </x:c>
      <x:c r="M16" s="13" t="str">
        <x:f>IF(COUNTIFS($B$4:$B$29,B16,$F$4:$F$29,"&gt;="&amp;F16,$G$4:$G$29,"&lt;="&amp;G16)&gt;1,"Nein","Ja")</x:f>
        <x:v>Ja</x:v>
      </x:c>
    </x:row>
    <x:row r="17">
      <x:c r="A17" s="13" t="str">
        <x:f>'Best_Config_Per_Model'!A17</x:f>
        <x:v>Session-based</x:v>
      </x:c>
      <x:c r="B17" s="13" t="str">
        <x:f>'Best_Config_Per_Model'!B17</x:f>
        <x:v>yoochoose_recbole_sample</x:v>
      </x:c>
      <x:c r="C17" s="13" t="str">
        <x:f>'Best_Config_Per_Model'!C17</x:f>
        <x:v>VSTAN</x:v>
      </x:c>
      <x:c r="D17" s="14" t="n">
        <x:f>'Best_Config_Per_Model'!G17</x:f>
        <x:v>0.5334</x:v>
      </x:c>
      <x:c r="E17" s="14" t="n">
        <x:f>'Best_Config_Per_Model'!I17</x:f>
        <x:v>0.3384</x:v>
      </x:c>
      <x:c r="F17" s="14" t="n">
        <x:f>'Best_Config_Per_Model'!K17</x:f>
        <x:v>0.2773</x:v>
      </x:c>
      <x:c r="G17" s="15" t="n">
        <x:f>'Best_Config_Per_Model'!L17</x:f>
        <x:v>541.25</x:v>
      </x:c>
      <x:c r="H17" s="15" t="n">
        <x:f>IFERROR(G17/60,"")</x:f>
        <x:v>9.020833333333334</x:v>
      </x:c>
      <x:c r="I17" s="14" t="n">
        <x:f>IFERROR(F17/H17,"")</x:f>
        <x:v>0.030739953810623555</x:v>
      </x:c>
      <x:c r="J17" s="13" t="n">
        <x:f>1+COUNTIFS($B$4:$B$29,B17,$F$4:$F$29,"&gt;"&amp;F17)</x:f>
        <x:v>2</x:v>
      </x:c>
      <x:c r="K17" s="28" t="n">
        <x:f>IFERROR(F17/MAXIFS($F$4:$F$29,$B$4:$B$29,B17),"")</x:f>
        <x:v>0.9628472222222223</x:v>
      </x:c>
      <x:c r="L17" s="13" t="n">
        <x:f>MAXIFS($F$4:$F$29,$B$4:$B$29,B17)-F17</x:f>
        <x:v>0.010699999999999987</x:v>
      </x:c>
      <x:c r="M17" s="13" t="str">
        <x:f>IF(COUNTIFS($B$4:$B$29,B17,$F$4:$F$29,"&gt;="&amp;F17,$G$4:$G$29,"&lt;="&amp;G17)&gt;1,"Nein","Ja")</x:f>
        <x:v>Nein</x:v>
      </x:c>
    </x:row>
    <x:row r="18">
      <x:c r="A18" s="13" t="str">
        <x:f>'Best_Config_Per_Model'!A18</x:f>
        <x:v>Session-based</x:v>
      </x:c>
      <x:c r="B18" s="13" t="str">
        <x:f>'Best_Config_Per_Model'!B18</x:f>
        <x:v>yoochoose_recbole_sample</x:v>
      </x:c>
      <x:c r="C18" s="13" t="str">
        <x:f>'Best_Config_Per_Model'!C18</x:f>
        <x:v>GRU4Rec</x:v>
      </x:c>
      <x:c r="D18" s="14" t="n">
        <x:f>'Best_Config_Per_Model'!G18</x:f>
        <x:v>0.4818</x:v>
      </x:c>
      <x:c r="E18" s="14" t="n">
        <x:f>'Best_Config_Per_Model'!I18</x:f>
        <x:v>0.3027</x:v>
      </x:c>
      <x:c r="F18" s="14" t="n">
        <x:f>'Best_Config_Per_Model'!K18</x:f>
        <x:v>0.2469</x:v>
      </x:c>
      <x:c r="G18" s="15" t="n">
        <x:f>'Best_Config_Per_Model'!L18</x:f>
        <x:v>32.13</x:v>
      </x:c>
      <x:c r="H18" s="15" t="n">
        <x:f>IFERROR(G18/60,"")</x:f>
        <x:v>0.5355000000000001</x:v>
      </x:c>
      <x:c r="I18" s="14" t="n">
        <x:f>IFERROR(F18/H18,"")</x:f>
        <x:v>0.46106442577030804</x:v>
      </x:c>
      <x:c r="J18" s="13" t="n">
        <x:f>1+COUNTIFS($B$4:$B$29,B18,$F$4:$F$29,"&gt;"&amp;F18)</x:f>
        <x:v>3</x:v>
      </x:c>
      <x:c r="K18" s="28" t="n">
        <x:f>IFERROR(F18/MAXIFS($F$4:$F$29,$B$4:$B$29,B18),"")</x:f>
        <x:v>0.8572916666666668</x:v>
      </x:c>
      <x:c r="L18" s="13" t="n">
        <x:f>MAXIFS($F$4:$F$29,$B$4:$B$29,B18)-F18</x:f>
        <x:v>0.04109999999999997</x:v>
      </x:c>
      <x:c r="M18" s="13" t="str">
        <x:f>IF(COUNTIFS($B$4:$B$29,B18,$F$4:$F$29,"&gt;="&amp;F18,$G$4:$G$29,"&lt;="&amp;G18)&gt;1,"Nein","Ja")</x:f>
        <x:v>Ja</x:v>
      </x:c>
    </x:row>
    <x:row r="19">
      <x:c r="A19" s="13" t="str">
        <x:f>'Best_Config_Per_Model'!A19</x:f>
        <x:v>Session-based</x:v>
      </x:c>
      <x:c r="B19" s="13" t="str">
        <x:f>'Best_Config_Per_Model'!B19</x:f>
        <x:v>yoochoose_recbole_sample</x:v>
      </x:c>
      <x:c r="C19" s="13" t="str">
        <x:f>'Best_Config_Per_Model'!C19</x:f>
        <x:v>DecayPop</x:v>
      </x:c>
      <x:c r="D19" s="14" t="n">
        <x:f>'Best_Config_Per_Model'!G19</x:f>
        <x:v>0.0216</x:v>
      </x:c>
      <x:c r="E19" s="14" t="n">
        <x:f>'Best_Config_Per_Model'!I19</x:f>
        <x:v>0.0115</x:v>
      </x:c>
      <x:c r="F19" s="14" t="n">
        <x:f>'Best_Config_Per_Model'!K19</x:f>
        <x:v>0.0084</x:v>
      </x:c>
      <x:c r="G19" s="15" t="n">
        <x:f>'Best_Config_Per_Model'!L19</x:f>
        <x:v>8.91</x:v>
      </x:c>
      <x:c r="H19" s="15" t="n">
        <x:f>IFERROR(G19/60,"")</x:f>
        <x:v>0.1485</x:v>
      </x:c>
      <x:c r="I19" s="14" t="n">
        <x:f>IFERROR(F19/H19,"")</x:f>
        <x:v>0.05656565656565656</x:v>
      </x:c>
      <x:c r="J19" s="13" t="n">
        <x:f>1+COUNTIFS($B$4:$B$29,B19,$F$4:$F$29,"&gt;"&amp;F19)</x:f>
        <x:v>4</x:v>
      </x:c>
      <x:c r="K19" s="28" t="n">
        <x:f>IFERROR(F19/MAXIFS($F$4:$F$29,$B$4:$B$29,B19),"")</x:f>
        <x:v>0.029166666666666667</x:v>
      </x:c>
      <x:c r="L19" s="13" t="n">
        <x:f>MAXIFS($F$4:$F$29,$B$4:$B$29,B19)-F19</x:f>
        <x:v>0.27959999999999996</x:v>
      </x:c>
      <x:c r="M19" s="13" t="str">
        <x:f>IF(COUNTIFS($B$4:$B$29,B19,$F$4:$F$29,"&gt;="&amp;F19,$G$4:$G$29,"&lt;="&amp;G19)&gt;1,"Nein","Ja")</x:f>
        <x:v>Ja</x:v>
      </x:c>
    </x:row>
    <x:row r="20">
      <x:c r="A20" s="13" t="str">
        <x:f>'Best_Config_Per_Model'!A20</x:f>
        <x:v>Session-based</x:v>
      </x:c>
      <x:c r="B20" s="13" t="str">
        <x:f>'Best_Config_Per_Model'!B20</x:f>
        <x:v>yoochoose_recbole_sample</x:v>
      </x:c>
      <x:c r="C20" s="13" t="str">
        <x:f>'Best_Config_Per_Model'!C20</x:f>
        <x:v>MostPop</x:v>
      </x:c>
      <x:c r="D20" s="14" t="n">
        <x:f>'Best_Config_Per_Model'!G20</x:f>
        <x:v>0.0215</x:v>
      </x:c>
      <x:c r="E20" s="14" t="n">
        <x:f>'Best_Config_Per_Model'!I20</x:f>
        <x:v>0.0112</x:v>
      </x:c>
      <x:c r="F20" s="14" t="n">
        <x:f>'Best_Config_Per_Model'!K20</x:f>
        <x:v>0.008</x:v>
      </x:c>
      <x:c r="G20" s="15" t="n">
        <x:f>'Best_Config_Per_Model'!L20</x:f>
        <x:v>7.25</x:v>
      </x:c>
      <x:c r="H20" s="15" t="n">
        <x:f>IFERROR(G20/60,"")</x:f>
        <x:v>0.12083333333333333</x:v>
      </x:c>
      <x:c r="I20" s="14" t="n">
        <x:f>IFERROR(F20/H20,"")</x:f>
        <x:v>0.06620689655172414</x:v>
      </x:c>
      <x:c r="J20" s="13" t="n">
        <x:f>1+COUNTIFS($B$4:$B$29,B20,$F$4:$F$29,"&gt;"&amp;F20)</x:f>
        <x:v>5</x:v>
      </x:c>
      <x:c r="K20" s="28" t="n">
        <x:f>IFERROR(F20/MAXIFS($F$4:$F$29,$B$4:$B$29,B20),"")</x:f>
        <x:v>0.02777777777777778</x:v>
      </x:c>
      <x:c r="L20" s="13" t="n">
        <x:f>MAXIFS($F$4:$F$29,$B$4:$B$29,B20)-F20</x:f>
        <x:v>0.27999999999999997</x:v>
      </x:c>
      <x:c r="M20" s="13" t="str">
        <x:f>IF(COUNTIFS($B$4:$B$29,B20,$F$4:$F$29,"&gt;="&amp;F20,$G$4:$G$29,"&lt;="&amp;G20)&gt;1,"Nein","Ja")</x:f>
        <x:v>Ja</x:v>
      </x:c>
    </x:row>
    <x:row r="21">
      <x:c r="A21" s="13" t="str">
        <x:f>'Best_Config_Per_Model'!A21</x:f>
        <x:v>Session-based</x:v>
      </x:c>
      <x:c r="B21" s="13" t="str">
        <x:f>'Best_Config_Per_Model'!B21</x:f>
        <x:v>yoochoose_recbole_sample</x:v>
      </x:c>
      <x:c r="C21" s="13" t="str">
        <x:f>'Best_Config_Per_Model'!C21</x:f>
        <x:v>RecentPop</x:v>
      </x:c>
      <x:c r="D21" s="14" t="n">
        <x:f>'Best_Config_Per_Model'!G21</x:f>
        <x:v>0.0212</x:v>
      </x:c>
      <x:c r="E21" s="14" t="n">
        <x:f>'Best_Config_Per_Model'!I21</x:f>
        <x:v>0.0111</x:v>
      </x:c>
      <x:c r="F21" s="14" t="n">
        <x:f>'Best_Config_Per_Model'!K21</x:f>
        <x:v>0.008</x:v>
      </x:c>
      <x:c r="G21" s="15" t="n">
        <x:f>'Best_Config_Per_Model'!L21</x:f>
        <x:v>7.26</x:v>
      </x:c>
      <x:c r="H21" s="15" t="n">
        <x:f>IFERROR(G21/60,"")</x:f>
        <x:v>0.121</x:v>
      </x:c>
      <x:c r="I21" s="14" t="n">
        <x:f>IFERROR(F21/H21,"")</x:f>
        <x:v>0.06611570247933884</x:v>
      </x:c>
      <x:c r="J21" s="13" t="n">
        <x:f>1+COUNTIFS($B$4:$B$29,B21,$F$4:$F$29,"&gt;"&amp;F21)</x:f>
        <x:v>5</x:v>
      </x:c>
      <x:c r="K21" s="28" t="n">
        <x:f>IFERROR(F21/MAXIFS($F$4:$F$29,$B$4:$B$29,B21),"")</x:f>
        <x:v>0.02777777777777778</x:v>
      </x:c>
      <x:c r="L21" s="13" t="n">
        <x:f>MAXIFS($F$4:$F$29,$B$4:$B$29,B21)-F21</x:f>
        <x:v>0.27999999999999997</x:v>
      </x:c>
      <x:c r="M21" s="13" t="str">
        <x:f>IF(COUNTIFS($B$4:$B$29,B21,$F$4:$F$29,"&gt;="&amp;F21,$G$4:$G$29,"&lt;="&amp;G21)&gt;1,"Nein","Ja")</x:f>
        <x:v>Nein</x:v>
      </x:c>
    </x:row>
    <x:row r="22">
      <x:c r="A22" s="13" t="str">
        <x:f>'Best_Config_Per_Model'!A22</x:f>
        <x:v>Top-N</x:v>
      </x:c>
      <x:c r="B22" s="13" t="str">
        <x:f>'Best_Config_Per_Model'!B22</x:f>
        <x:v>amazon_recbole</x:v>
      </x:c>
      <x:c r="C22" s="13" t="str">
        <x:f>'Best_Config_Per_Model'!C22</x:f>
        <x:v>BPR</x:v>
      </x:c>
      <x:c r="D22" s="14" t="n">
        <x:f>'Best_Config_Per_Model'!G22</x:f>
        <x:v>0.0754</x:v>
      </x:c>
      <x:c r="E22" s="14" t="n">
        <x:f>'Best_Config_Per_Model'!I22</x:f>
        <x:v>0.0573</x:v>
      </x:c>
      <x:c r="F22" s="14" t="n">
        <x:f>'Best_Config_Per_Model'!K22</x:f>
        <x:v>0.0519</x:v>
      </x:c>
      <x:c r="G22" s="15" t="n">
        <x:f>'Best_Config_Per_Model'!L22</x:f>
        <x:v>12903.07</x:v>
      </x:c>
      <x:c r="H22" s="15" t="n">
        <x:f>IFERROR(G22/60,"")</x:f>
        <x:v>215.05116666666666</x:v>
      </x:c>
      <x:c r="I22" s="14" t="n">
        <x:f>IFERROR(F22/H22,"")</x:f>
        <x:v>0.00024133791415531343</x:v>
      </x:c>
      <x:c r="J22" s="13" t="n">
        <x:f>1+COUNTIFS($B$4:$B$29,B22,$F$4:$F$29,"&gt;"&amp;F22)</x:f>
        <x:v>1</x:v>
      </x:c>
      <x:c r="K22" s="28" t="n">
        <x:f>IFERROR(F22/MAXIFS($F$4:$F$29,$B$4:$B$29,B22),"")</x:f>
        <x:v>1</x:v>
      </x:c>
      <x:c r="L22" s="13" t="n">
        <x:f>MAXIFS($F$4:$F$29,$B$4:$B$29,B22)-F22</x:f>
        <x:v>0</x:v>
      </x:c>
      <x:c r="M22" s="13" t="str">
        <x:f>IF(COUNTIFS($B$4:$B$29,B22,$F$4:$F$29,"&gt;="&amp;F22,$G$4:$G$29,"&lt;="&amp;G22)&gt;1,"Nein","Ja")</x:f>
        <x:v>Ja</x:v>
      </x:c>
    </x:row>
    <x:row r="23">
      <x:c r="A23" s="13" t="str">
        <x:f>'Best_Config_Per_Model'!A23</x:f>
        <x:v>Top-N</x:v>
      </x:c>
      <x:c r="B23" s="13" t="str">
        <x:f>'Best_Config_Per_Model'!B23</x:f>
        <x:v>amazon_recbole</x:v>
      </x:c>
      <x:c r="C23" s="13" t="str">
        <x:f>'Best_Config_Per_Model'!C23</x:f>
        <x:v>DecayPop</x:v>
      </x:c>
      <x:c r="D23" s="14" t="n">
        <x:f>'Best_Config_Per_Model'!G23</x:f>
        <x:v>0.026</x:v>
      </x:c>
      <x:c r="E23" s="14" t="n">
        <x:f>'Best_Config_Per_Model'!I23</x:f>
        <x:v>0.0136</x:v>
      </x:c>
      <x:c r="F23" s="14" t="n">
        <x:f>'Best_Config_Per_Model'!K23</x:f>
        <x:v>0.01</x:v>
      </x:c>
      <x:c r="G23" s="15" t="n">
        <x:f>'Best_Config_Per_Model'!L23</x:f>
        <x:v>1670.23</x:v>
      </x:c>
      <x:c r="H23" s="15" t="n">
        <x:f>IFERROR(G23/60,"")</x:f>
        <x:v>27.83716666666667</x:v>
      </x:c>
      <x:c r="I23" s="14" t="n">
        <x:f>IFERROR(F23/H23,"")</x:f>
        <x:v>0.0003592319620651048</x:v>
      </x:c>
      <x:c r="J23" s="13" t="n">
        <x:f>1+COUNTIFS($B$4:$B$29,B23,$F$4:$F$29,"&gt;"&amp;F23)</x:f>
        <x:v>2</x:v>
      </x:c>
      <x:c r="K23" s="28" t="n">
        <x:f>IFERROR(F23/MAXIFS($F$4:$F$29,$B$4:$B$29,B23),"")</x:f>
        <x:v>0.1926782273603083</x:v>
      </x:c>
      <x:c r="L23" s="13" t="n">
        <x:f>MAXIFS($F$4:$F$29,$B$4:$B$29,B23)-F23</x:f>
        <x:v>0.0419</x:v>
      </x:c>
      <x:c r="M23" s="13" t="str">
        <x:f>IF(COUNTIFS($B$4:$B$29,B23,$F$4:$F$29,"&gt;="&amp;F23,$G$4:$G$29,"&lt;="&amp;G23)&gt;1,"Nein","Ja")</x:f>
        <x:v>Ja</x:v>
      </x:c>
    </x:row>
    <x:row r="24">
      <x:c r="A24" s="13" t="str">
        <x:f>'Best_Config_Per_Model'!A24</x:f>
        <x:v>Top-N</x:v>
      </x:c>
      <x:c r="B24" s="13" t="str">
        <x:f>'Best_Config_Per_Model'!B24</x:f>
        <x:v>amazon_recbole</x:v>
      </x:c>
      <x:c r="C24" s="13" t="str">
        <x:f>'Best_Config_Per_Model'!C24</x:f>
        <x:v>MostPop</x:v>
      </x:c>
      <x:c r="D24" s="14" t="n">
        <x:f>'Best_Config_Per_Model'!G24</x:f>
        <x:v>0.0236</x:v>
      </x:c>
      <x:c r="E24" s="14" t="n">
        <x:f>'Best_Config_Per_Model'!I24</x:f>
        <x:v>0.0124</x:v>
      </x:c>
      <x:c r="F24" s="14" t="n">
        <x:f>'Best_Config_Per_Model'!K24</x:f>
        <x:v>0.0091</x:v>
      </x:c>
      <x:c r="G24" s="15" t="n">
        <x:f>'Best_Config_Per_Model'!L24</x:f>
        <x:v>1662.26</x:v>
      </x:c>
      <x:c r="H24" s="15" t="n">
        <x:f>IFERROR(G24/60,"")</x:f>
        <x:v>27.704333333333334</x:v>
      </x:c>
      <x:c r="I24" s="14" t="n">
        <x:f>IFERROR(F24/H24,"")</x:f>
        <x:v>0.00032846847063636256</x:v>
      </x:c>
      <x:c r="J24" s="13" t="n">
        <x:f>1+COUNTIFS($B$4:$B$29,B24,$F$4:$F$29,"&gt;"&amp;F24)</x:f>
        <x:v>3</x:v>
      </x:c>
      <x:c r="K24" s="28" t="n">
        <x:f>IFERROR(F24/MAXIFS($F$4:$F$29,$B$4:$B$29,B24),"")</x:f>
        <x:v>0.17533718689788055</x:v>
      </x:c>
      <x:c r="L24" s="13" t="n">
        <x:f>MAXIFS($F$4:$F$29,$B$4:$B$29,B24)-F24</x:f>
        <x:v>0.042800000000000005</x:v>
      </x:c>
      <x:c r="M24" s="13" t="str">
        <x:f>IF(COUNTIFS($B$4:$B$29,B24,$F$4:$F$29,"&gt;="&amp;F24,$G$4:$G$29,"&lt;="&amp;G24)&gt;1,"Nein","Ja")</x:f>
        <x:v>Ja</x:v>
      </x:c>
    </x:row>
    <x:row r="25">
      <x:c r="A25" s="13" t="str">
        <x:f>'Best_Config_Per_Model'!A25</x:f>
        <x:v>Top-N</x:v>
      </x:c>
      <x:c r="B25" s="13" t="str">
        <x:f>'Best_Config_Per_Model'!B25</x:f>
        <x:v>amazon_recbole</x:v>
      </x:c>
      <x:c r="C25" s="13" t="str">
        <x:f>'Best_Config_Per_Model'!C25</x:f>
        <x:v>RecentPop</x:v>
      </x:c>
      <x:c r="D25" s="14" t="n">
        <x:f>'Best_Config_Per_Model'!G25</x:f>
        <x:v>0.0131</x:v>
      </x:c>
      <x:c r="E25" s="14" t="n">
        <x:f>'Best_Config_Per_Model'!I25</x:f>
        <x:v>0.0055</x:v>
      </x:c>
      <x:c r="F25" s="14" t="n">
        <x:f>'Best_Config_Per_Model'!K25</x:f>
        <x:v>0.0034</x:v>
      </x:c>
      <x:c r="G25" s="15" t="n">
        <x:f>'Best_Config_Per_Model'!L25</x:f>
        <x:v>1730.85</x:v>
      </x:c>
      <x:c r="H25" s="15" t="n">
        <x:f>IFERROR(G25/60,"")</x:f>
        <x:v>28.8475</x:v>
      </x:c>
      <x:c r="I25" s="14" t="n">
        <x:f>IFERROR(F25/H25,"")</x:f>
        <x:v>0.00011786116647889765</x:v>
      </x:c>
      <x:c r="J25" s="13" t="n">
        <x:f>1+COUNTIFS($B$4:$B$29,B25,$F$4:$F$29,"&gt;"&amp;F25)</x:f>
        <x:v>4</x:v>
      </x:c>
      <x:c r="K25" s="28" t="n">
        <x:f>IFERROR(F25/MAXIFS($F$4:$F$29,$B$4:$B$29,B25),"")</x:f>
        <x:v>0.06551059730250482</x:v>
      </x:c>
      <x:c r="L25" s="13" t="n">
        <x:f>MAXIFS($F$4:$F$29,$B$4:$B$29,B25)-F25</x:f>
        <x:v>0.0485</x:v>
      </x:c>
      <x:c r="M25" s="13" t="str">
        <x:f>IF(COUNTIFS($B$4:$B$29,B25,$F$4:$F$29,"&gt;="&amp;F25,$G$4:$G$29,"&lt;="&amp;G25)&gt;1,"Nein","Ja")</x:f>
        <x:v>Nein</x:v>
      </x:c>
    </x:row>
    <x:row r="26">
      <x:c r="A26" s="13" t="str">
        <x:f>'Best_Config_Per_Model'!A26</x:f>
        <x:v>Top-N</x:v>
      </x:c>
      <x:c r="B26" s="13" t="str">
        <x:f>'Best_Config_Per_Model'!B26</x:f>
        <x:v>movielens_recbole</x:v>
      </x:c>
      <x:c r="C26" s="13" t="str">
        <x:f>'Best_Config_Per_Model'!C26</x:f>
        <x:v>BPR</x:v>
      </x:c>
      <x:c r="D26" s="14" t="n">
        <x:f>'Best_Config_Per_Model'!G26</x:f>
        <x:v>0.3546</x:v>
      </x:c>
      <x:c r="E26" s="14" t="n">
        <x:f>'Best_Config_Per_Model'!I26</x:f>
        <x:v>0.084</x:v>
      </x:c>
      <x:c r="F26" s="14" t="n">
        <x:f>'Best_Config_Per_Model'!K26</x:f>
        <x:v>0.1546</x:v>
      </x:c>
      <x:c r="G26" s="15" t="n">
        <x:f>'Best_Config_Per_Model'!L26</x:f>
        <x:v>5134.07</x:v>
      </x:c>
      <x:c r="H26" s="15" t="n">
        <x:f>IFERROR(G26/60,"")</x:f>
        <x:v>85.56783333333333</x:v>
      </x:c>
      <x:c r="I26" s="14" t="n">
        <x:f>IFERROR(F26/H26,"")</x:f>
        <x:v>0.0018067537061239912</x:v>
      </x:c>
      <x:c r="J26" s="13" t="n">
        <x:f>1+COUNTIFS($B$4:$B$29,B26,$F$4:$F$29,"&gt;"&amp;F26)</x:f>
        <x:v>1</x:v>
      </x:c>
      <x:c r="K26" s="28" t="n">
        <x:f>IFERROR(F26/MAXIFS($F$4:$F$29,$B$4:$B$29,B26),"")</x:f>
        <x:v>1</x:v>
      </x:c>
      <x:c r="L26" s="13" t="n">
        <x:f>MAXIFS($F$4:$F$29,$B$4:$B$29,B26)-F26</x:f>
        <x:v>0</x:v>
      </x:c>
      <x:c r="M26" s="13" t="str">
        <x:f>IF(COUNTIFS($B$4:$B$29,B26,$F$4:$F$29,"&gt;="&amp;F26,$G$4:$G$29,"&lt;="&amp;G26)&gt;1,"Nein","Ja")</x:f>
        <x:v>Ja</x:v>
      </x:c>
    </x:row>
    <x:row r="27">
      <x:c r="A27" s="13" t="str">
        <x:f>'Best_Config_Per_Model'!A27</x:f>
        <x:v>Top-N</x:v>
      </x:c>
      <x:c r="B27" s="13" t="str">
        <x:f>'Best_Config_Per_Model'!B27</x:f>
        <x:v>movielens_recbole</x:v>
      </x:c>
      <x:c r="C27" s="13" t="str">
        <x:f>'Best_Config_Per_Model'!C27</x:f>
        <x:v>DecayPop</x:v>
      </x:c>
      <x:c r="D27" s="14" t="n">
        <x:f>'Best_Config_Per_Model'!G27</x:f>
        <x:v>0.251</x:v>
      </x:c>
      <x:c r="E27" s="14" t="n">
        <x:f>'Best_Config_Per_Model'!I27</x:f>
        <x:v>0.0558</x:v>
      </x:c>
      <x:c r="F27" s="14" t="n">
        <x:f>'Best_Config_Per_Model'!K27</x:f>
        <x:v>0.1065</x:v>
      </x:c>
      <x:c r="G27" s="15" t="n">
        <x:f>'Best_Config_Per_Model'!L27</x:f>
        <x:v>423.75</x:v>
      </x:c>
      <x:c r="H27" s="15" t="n">
        <x:f>IFERROR(G27/60,"")</x:f>
        <x:v>7.0625</x:v>
      </x:c>
      <x:c r="I27" s="14" t="n">
        <x:f>IFERROR(F27/H27,"")</x:f>
        <x:v>0.015079646017699115</x:v>
      </x:c>
      <x:c r="J27" s="13" t="n">
        <x:f>1+COUNTIFS($B$4:$B$29,B27,$F$4:$F$29,"&gt;"&amp;F27)</x:f>
        <x:v>2</x:v>
      </x:c>
      <x:c r="K27" s="28" t="n">
        <x:f>IFERROR(F27/MAXIFS($F$4:$F$29,$B$4:$B$29,B27),"")</x:f>
        <x:v>0.6888745148771023</x:v>
      </x:c>
      <x:c r="L27" s="13" t="n">
        <x:f>MAXIFS($F$4:$F$29,$B$4:$B$29,B27)-F27</x:f>
        <x:v>0.04809999999999999</x:v>
      </x:c>
      <x:c r="M27" s="13" t="str">
        <x:f>IF(COUNTIFS($B$4:$B$29,B27,$F$4:$F$29,"&gt;="&amp;F27,$G$4:$G$29,"&lt;="&amp;G27)&gt;1,"Nein","Ja")</x:f>
        <x:v>Ja</x:v>
      </x:c>
    </x:row>
    <x:row r="28">
      <x:c r="A28" s="13" t="str">
        <x:f>'Best_Config_Per_Model'!A28</x:f>
        <x:v>Top-N</x:v>
      </x:c>
      <x:c r="B28" s="13" t="str">
        <x:f>'Best_Config_Per_Model'!B28</x:f>
        <x:v>movielens_recbole</x:v>
      </x:c>
      <x:c r="C28" s="13" t="str">
        <x:f>'Best_Config_Per_Model'!C28</x:f>
        <x:v>MostPop</x:v>
      </x:c>
      <x:c r="D28" s="14" t="n">
        <x:f>'Best_Config_Per_Model'!G28</x:f>
        <x:v>0.2479</x:v>
      </x:c>
      <x:c r="E28" s="14" t="n">
        <x:f>'Best_Config_Per_Model'!I28</x:f>
        <x:v>0.0555</x:v>
      </x:c>
      <x:c r="F28" s="14" t="n">
        <x:f>'Best_Config_Per_Model'!K28</x:f>
        <x:v>0.1062</x:v>
      </x:c>
      <x:c r="G28" s="15" t="n">
        <x:f>'Best_Config_Per_Model'!L28</x:f>
        <x:v>284.62</x:v>
      </x:c>
      <x:c r="H28" s="15" t="n">
        <x:f>IFERROR(G28/60,"")</x:f>
        <x:v>4.743666666666667</x:v>
      </x:c>
      <x:c r="I28" s="14" t="n">
        <x:f>IFERROR(F28/H28,"")</x:f>
        <x:v>0.02238774506359356</x:v>
      </x:c>
      <x:c r="J28" s="13" t="n">
        <x:f>1+COUNTIFS($B$4:$B$29,B28,$F$4:$F$29,"&gt;"&amp;F28)</x:f>
        <x:v>3</x:v>
      </x:c>
      <x:c r="K28" s="28" t="n">
        <x:f>IFERROR(F28/MAXIFS($F$4:$F$29,$B$4:$B$29,B28),"")</x:f>
        <x:v>0.6869340232858991</x:v>
      </x:c>
      <x:c r="L28" s="13" t="n">
        <x:f>MAXIFS($F$4:$F$29,$B$4:$B$29,B28)-F28</x:f>
        <x:v>0.048399999999999985</x:v>
      </x:c>
      <x:c r="M28" s="13" t="str">
        <x:f>IF(COUNTIFS($B$4:$B$29,B28,$F$4:$F$29,"&gt;="&amp;F28,$G$4:$G$29,"&lt;="&amp;G28)&gt;1,"Nein","Ja")</x:f>
        <x:v>Ja</x:v>
      </x:c>
    </x:row>
    <x:row r="29">
      <x:c r="A29" s="13" t="str">
        <x:f>'Best_Config_Per_Model'!A29</x:f>
        <x:v>Top-N</x:v>
      </x:c>
      <x:c r="B29" s="13" t="str">
        <x:f>'Best_Config_Per_Model'!B29</x:f>
        <x:v>movielens_recbole</x:v>
      </x:c>
      <x:c r="C29" s="13" t="str">
        <x:f>'Best_Config_Per_Model'!C29</x:f>
        <x:v>RecentPop</x:v>
      </x:c>
      <x:c r="D29" s="14" t="n">
        <x:f>'Best_Config_Per_Model'!G29</x:f>
        <x:v>0.1997</x:v>
      </x:c>
      <x:c r="E29" s="14" t="n">
        <x:f>'Best_Config_Per_Model'!I29</x:f>
        <x:v>0.0395</x:v>
      </x:c>
      <x:c r="F29" s="14" t="n">
        <x:f>'Best_Config_Per_Model'!K29</x:f>
        <x:v>0.0776</x:v>
      </x:c>
      <x:c r="G29" s="15" t="n">
        <x:f>'Best_Config_Per_Model'!L29</x:f>
        <x:v>339.24</x:v>
      </x:c>
      <x:c r="H29" s="15" t="n">
        <x:f>IFERROR(G29/60,"")</x:f>
        <x:v>5.654</x:v>
      </x:c>
      <x:c r="I29" s="14" t="n">
        <x:f>IFERROR(F29/H29,"")</x:f>
        <x:v>0.013724796604174036</x:v>
      </x:c>
      <x:c r="J29" s="13" t="n">
        <x:f>1+COUNTIFS($B$4:$B$29,B29,$F$4:$F$29,"&gt;"&amp;F29)</x:f>
        <x:v>4</x:v>
      </x:c>
      <x:c r="K29" s="28" t="n">
        <x:f>IFERROR(F29/MAXIFS($F$4:$F$29,$B$4:$B$29,B29),"")</x:f>
        <x:v>0.5019404915912031</x:v>
      </x:c>
      <x:c r="L29" s="13" t="n">
        <x:f>MAXIFS($F$4:$F$29,$B$4:$B$29,B29)-F29</x:f>
        <x:v>0.07699999999999999</x:v>
      </x:c>
      <x:c r="M29" s="13" t="str">
        <x:f>IF(COUNTIFS($B$4:$B$29,B29,$F$4:$F$29,"&gt;="&amp;F29,$G$4:$G$29,"&lt;="&amp;G29)&gt;1,"Nein","Ja")</x:f>
        <x:v>Nein</x:v>
      </x:c>
    </x:row>
  </x:sheetData>
  <x:mergeCells>
    <x:mergeCell ref="A1:M1"/>
    <x:mergeCell ref="A2:M2"/>
  </x:mergeCells>
  <x:conditionalFormatting sqref="M4:M29">
    <x:cfRule type="containsText" dxfId="3" priority="1" operator="containsText" text="Ja"/>
  </x:conditionalFormatting>
  <x:conditionalFormatting sqref="J4:J29">
    <x:cfRule type="cellIs" dxfId="4" priority="2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5e4e7716784a64"/>
  </x:tableParts>
</x:worksheet>
</file>